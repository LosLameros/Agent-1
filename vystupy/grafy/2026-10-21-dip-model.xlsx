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dpoklady" sheetId="1" state="visible" r:id="rId3"/>
    <sheet name="Výsledky" sheetId="2" state="visible" r:id="rId4"/>
    <sheet name="Měsíce" sheetId="3" state="visible" r:id="rId5"/>
    <sheet name="Rok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<sst xmlns="http://schemas.openxmlformats.org/spreadsheetml/2006/main" count="84" uniqueCount="71">
  <si>
    <t xml:space="preserve">Model DIP – předpoklady</t>
  </si>
  <si>
    <t xml:space="preserve">Modré buňky se žlutým podkladem jsou vstupy – po změně se celý sešit přepočítá.</t>
  </si>
  <si>
    <t xml:space="preserve">Měsíční vklad</t>
  </si>
  <si>
    <t xml:space="preserve">Zadání (Ája B., Marek P.): 4 000 Kč měsíčně, vklad vždy na začátku měsíce.</t>
  </si>
  <si>
    <t xml:space="preserve">Očekávaný roční výnos (před poplatky Portu)</t>
  </si>
  <si>
    <t xml:space="preserve">Zadání: průměrný růst 7 % ročně, stejný pro DIP i investici mimo DIP.</t>
  </si>
  <si>
    <t xml:space="preserve">Roční limit odpočtu příspěvků na DIP</t>
  </si>
  <si>
    <t xml:space="preserve">Zákon o daních z příjmů, § 15a: společný limit 48 000 Kč ročně (DIP, penzijní spoření, životní pojištění).</t>
  </si>
  <si>
    <t xml:space="preserve">Sazba daně z příjmů</t>
  </si>
  <si>
    <t xml:space="preserve">Zadání: daňová úspora 7 200 Kč ročně = 48 000 Kč × 15 %.</t>
  </si>
  <si>
    <t xml:space="preserve">Měsíc vrácení daně v následujícím roce</t>
  </si>
  <si>
    <t xml:space="preserve">Přeplatek na dani se vrací typicky v dubnu po podání přiznání / ročním zúčtování.</t>
  </si>
  <si>
    <t xml:space="preserve">Poplatek DIP (ročně, účtovaný měsíčně)</t>
  </si>
  <si>
    <t xml:space="preserve">Zadání: DIP má poplatek 0,3 % ročně, účtuje se měsíčně (1/12 z hodnoty majetku).</t>
  </si>
  <si>
    <t xml:space="preserve">Sleva na poplatku za fixaci (mimo DIP)</t>
  </si>
  <si>
    <t xml:space="preserve">Zadání: investice mimo DIP s fixací se slevou 40 % (Program pro dlouhodobé investory; 40 % odpovídá fixaci na 15 let). Platí pro horizonty 20 a 30 let.</t>
  </si>
  <si>
    <t xml:space="preserve">Sleva na poplatku za fixaci – 10letý horizont</t>
  </si>
  <si>
    <t xml:space="preserve">Zadání: u 10letého horizontu je poplatek mimo DIP s fixací 0,7 % ročně = 1 % × (1 − 30 %); s objemem klesá stejně jako u 40% slevy.</t>
  </si>
  <si>
    <t xml:space="preserve">Měsíční výnos (odvozený)</t>
  </si>
  <si>
    <t xml:space="preserve">Měsíční výnos tak, aby za 12 měsíců dal přesně roční výnos z B5.</t>
  </si>
  <si>
    <t xml:space="preserve">Roční vklady</t>
  </si>
  <si>
    <t xml:space="preserve">Roční daňová úspora</t>
  </si>
  <si>
    <t xml:space="preserve">Odečitatelné příspěvky (max. limit) × sazba daně.</t>
  </si>
  <si>
    <t xml:space="preserve">Poplatek za správu mimo DIP (Portfolia od Portu)</t>
  </si>
  <si>
    <t xml:space="preserve">Majetek od (Kč)</t>
  </si>
  <si>
    <t xml:space="preserve">Sazba ročně</t>
  </si>
  <si>
    <t xml:space="preserve">Po slevě (20 a 30 let)</t>
  </si>
  <si>
    <t xml:space="preserve">Po slevě (10 let)</t>
  </si>
  <si>
    <t xml:space="preserve">Zdroj: Portu magazín, Nový sazebník Portu (23. 4. 2024, platí od 1. 5. 2024), https://magazin.portu.cz/novy-sazebnik-portu-je-jednodussi-a-umoznuje-investovat-levneji/ – sazba pásma platí na celý majetek; poplatek účtovaný měsíčně (1/12 z hodnoty majetku).</t>
  </si>
  <si>
    <t xml:space="preserve">Scénáře</t>
  </si>
  <si>
    <t xml:space="preserve">Bez DIP s fixací</t>
  </si>
  <si>
    <t xml:space="preserve">Portfolio od Portu s fixací mimo DIP: stejný vklad a výnos, poplatek podle pásem se slevou za fixaci, bez daňové úspory. Výnos z cenných papírů držených déle než 3 roky je osvobozen od daně, takže se nedaní ani mimo DIP.</t>
  </si>
  <si>
    <t xml:space="preserve">DIP + daňová úspora</t>
  </si>
  <si>
    <t xml:space="preserve">Investice v DIP s poplatkem 0,3 % + vrácená daň za každý rok ponechaná jako hotovost (bez dalšího zhodnocení).</t>
  </si>
  <si>
    <t xml:space="preserve">DIP + reinvestovaná daňová úspora</t>
  </si>
  <si>
    <t xml:space="preserve">Investice v DIP + vrácená daň vložená do DIP v měsíci vrácení (stejný výnos i poplatek 0,3 %). Další odpočet nepřináší – limit 48 000 Kč vyčerpají samotné vklady.</t>
  </si>
  <si>
    <t xml:space="preserve">Další předpoklady</t>
  </si>
  <si>
    <t xml:space="preserve">• Vklad na začátku měsíce; zhodnocení i poplatek měsíčně (poplatek = 1/12 roční sazby z hodnoty majetku na konci měsíce).</t>
  </si>
  <si>
    <t xml:space="preserve">• Daňová úspora za poslední rok horizontu se vrací až v dubnu následujícího roku – na konci horizontu je započtená jako nárok.</t>
  </si>
  <si>
    <t xml:space="preserve">• Podmínky DIP: výběr nejdříve po 120 měsících a zároveň po 60. roce věku. Horizonty 10/20/30 let odpovídají investorům ve věku 50/40/30 let.</t>
  </si>
  <si>
    <t xml:space="preserve">• Bez inflace a bez příspěvků zaměstnavatele. Nákladovost podkladových ETF je součástí výnosu 7 %.</t>
  </si>
  <si>
    <t xml:space="preserve">DIP – výsledky pro horizonty 10, 20 a 30 let</t>
  </si>
  <si>
    <t xml:space="preserve">Horizont (let)</t>
  </si>
  <si>
    <t xml:space="preserve">Vloženo celkem</t>
  </si>
  <si>
    <t xml:space="preserve">Výhoda DIP oproti fixaci</t>
  </si>
  <si>
    <t xml:space="preserve">Výhoda DIP s reinvestováním</t>
  </si>
  <si>
    <t xml:space="preserve">Poplatky bez DIP</t>
  </si>
  <si>
    <t xml:space="preserve">Poplatky DIP</t>
  </si>
  <si>
    <t xml:space="preserve">Pro investora ve věku</t>
  </si>
  <si>
    <t xml:space="preserve">Výpočet: list Měsíce (měsíční model) → Roky (stav ke konci roku) → Výsledky. Předpoklady a zdroje: list Předpoklady.</t>
  </si>
  <si>
    <t xml:space="preserve">Měsíc</t>
  </si>
  <si>
    <t xml:space="preserve">Rok</t>
  </si>
  <si>
    <t xml:space="preserve">Vklad</t>
  </si>
  <si>
    <t xml:space="preserve">Bez DIP: hodnota před poplatkem</t>
  </si>
  <si>
    <t xml:space="preserve">Bez DIP: sazba poplatku ročně</t>
  </si>
  <si>
    <t xml:space="preserve">Bez DIP s fixací: hodnota (konec měsíce)</t>
  </si>
  <si>
    <t xml:space="preserve">DIP: hodnota investice (konec měsíce)</t>
  </si>
  <si>
    <t xml:space="preserve">Vrácená daň v měsíci</t>
  </si>
  <si>
    <t xml:space="preserve">Vrácená daň kumulovaně (hotovost)</t>
  </si>
  <si>
    <t xml:space="preserve">Reinvestovaná daňová úspora v DIP (hodnota)</t>
  </si>
  <si>
    <t xml:space="preserve">Poplatky bez DIP kumulovaně</t>
  </si>
  <si>
    <t xml:space="preserve">Poplatky DIP kumulovaně</t>
  </si>
  <si>
    <t xml:space="preserve">Bez DIP (10 let): hodnota před poplatkem</t>
  </si>
  <si>
    <t xml:space="preserve">Bez DIP (10 let): sazba poplatku ročně</t>
  </si>
  <si>
    <t xml:space="preserve">Bez DIP s fixací (10 let): hodnota (konec měsíce)</t>
  </si>
  <si>
    <t xml:space="preserve">Poplatky bez DIP (10 let) kumulovaně</t>
  </si>
  <si>
    <t xml:space="preserve">Bez DIP s fixací (sleva pro 10 let)</t>
  </si>
  <si>
    <t xml:space="preserve">Výhoda DIP oproti fixaci (10 let)</t>
  </si>
  <si>
    <t xml:space="preserve">Výhoda DIP s reinvestováním (10 let)</t>
  </si>
  <si>
    <t xml:space="preserve">Poplatky bez DIP kumulovaně (10 let)</t>
  </si>
  <si>
    <t xml:space="preserve">Hodnoty ke konci roku. Daňová úspora za právě skončený rok je započtená jako nárok (vrací se v dubnu dalšího roku).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</si>
</sst>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Kč&quot;;\-#,##0&quot; Kč&quot;;\-"/>
    <numFmt numFmtId="166" formatCode="0.0%"/>
    <numFmt numFmtId="167" formatCode="0"/>
    <numFmt numFmtId="168" formatCode="0.00%"/>
    <numFmt numFmtId="169" formatCode="0.00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333333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CEBF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CEB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4000</v>
      </c>
      <c r="C4" s="5" t="s">
        <v>3</v>
      </c>
    </row>
    <row r="5" customFormat="false" ht="15" hidden="false" customHeight="false" outlineLevel="0" collapsed="false">
      <c r="A5" s="3" t="s">
        <v>4</v>
      </c>
      <c r="B5" s="6" t="n">
        <v>0.07</v>
      </c>
      <c r="C5" s="5" t="s">
        <v>5</v>
      </c>
    </row>
    <row r="6" customFormat="false" ht="15" hidden="false" customHeight="false" outlineLevel="0" collapsed="false">
      <c r="A6" s="3" t="s">
        <v>6</v>
      </c>
      <c r="B6" s="4" t="n">
        <v>48000</v>
      </c>
      <c r="C6" s="5" t="s">
        <v>7</v>
      </c>
    </row>
    <row r="7" customFormat="false" ht="15" hidden="false" customHeight="false" outlineLevel="0" collapsed="false">
      <c r="A7" s="3" t="s">
        <v>8</v>
      </c>
      <c r="B7" s="6" t="n">
        <v>0.15</v>
      </c>
      <c r="C7" s="5" t="s">
        <v>9</v>
      </c>
    </row>
    <row r="8" customFormat="false" ht="15" hidden="false" customHeight="false" outlineLevel="0" collapsed="false">
      <c r="A8" s="3" t="s">
        <v>10</v>
      </c>
      <c r="B8" s="7" t="n">
        <v>4</v>
      </c>
      <c r="C8" s="5" t="s">
        <v>11</v>
      </c>
    </row>
    <row r="9" customFormat="false" ht="15" hidden="false" customHeight="false" outlineLevel="0" collapsed="false">
      <c r="A9" s="3" t="s">
        <v>12</v>
      </c>
      <c r="B9" s="8" t="n">
        <v>0.003</v>
      </c>
      <c r="C9" s="5" t="s">
        <v>13</v>
      </c>
    </row>
    <row r="10" customFormat="false" ht="15" hidden="false" customHeight="false" outlineLevel="0" collapsed="false">
      <c r="A10" s="3" t="s">
        <v>14</v>
      </c>
      <c r="B10" s="6" t="n">
        <v>0.4</v>
      </c>
      <c r="C10" s="5" t="s">
        <v>15</v>
      </c>
    </row>
    <row r="11" customFormat="false" ht="15" hidden="false" customHeight="false" outlineLevel="0" collapsed="false">
      <c r="A11" s="3" t="s">
        <v>16</v>
      </c>
      <c r="B11" s="6" t="n">
        <v>0.3</v>
      </c>
      <c r="C11" s="5" t="s">
        <v>17</v>
      </c>
    </row>
    <row r="12" customFormat="false" ht="15" hidden="false" customHeight="false" outlineLevel="0" collapsed="false">
      <c r="A12" s="3" t="s">
        <v>18</v>
      </c>
      <c r="B12" s="9" t="n">
        <f aca="false">(1+B5)^(1/12)-1</f>
        <v>0.00565414538740527</v>
      </c>
      <c r="C12" s="5" t="s">
        <v>19</v>
      </c>
    </row>
    <row r="13" customFormat="false" ht="15" hidden="false" customHeight="false" outlineLevel="0" collapsed="false">
      <c r="A13" s="3" t="s">
        <v>20</v>
      </c>
      <c r="B13" s="10" t="n">
        <f aca="false">B4*12</f>
        <v>48000</v>
      </c>
      <c r="C13" s="5"/>
    </row>
    <row r="14" customFormat="false" ht="15" hidden="false" customHeight="false" outlineLevel="0" collapsed="false">
      <c r="A14" s="3" t="s">
        <v>21</v>
      </c>
      <c r="B14" s="10" t="n">
        <f aca="false">MIN(B13,B6)*B7</f>
        <v>7200</v>
      </c>
      <c r="C14" s="5" t="s">
        <v>22</v>
      </c>
    </row>
    <row r="16" customFormat="false" ht="15" hidden="false" customHeight="false" outlineLevel="0" collapsed="false">
      <c r="A16" s="11" t="s">
        <v>23</v>
      </c>
    </row>
    <row r="17" customFormat="false" ht="15" hidden="false" customHeight="false" outlineLevel="0" collapsed="false">
      <c r="A17" s="12" t="s">
        <v>24</v>
      </c>
      <c r="B17" s="12" t="s">
        <v>25</v>
      </c>
      <c r="C17" s="12" t="s">
        <v>26</v>
      </c>
      <c r="D17" s="12" t="s">
        <v>27</v>
      </c>
    </row>
    <row r="18" customFormat="false" ht="15" hidden="false" customHeight="false" outlineLevel="0" collapsed="false">
      <c r="A18" s="4" t="n">
        <v>0</v>
      </c>
      <c r="B18" s="8" t="n">
        <v>0.01</v>
      </c>
      <c r="C18" s="13" t="n">
        <f aca="false">B18*(1-$B$10)</f>
        <v>0.006</v>
      </c>
      <c r="D18" s="13" t="n">
        <f aca="false">B18*(1-$B$11)</f>
        <v>0.007</v>
      </c>
    </row>
    <row r="19" customFormat="false" ht="15" hidden="false" customHeight="false" outlineLevel="0" collapsed="false">
      <c r="A19" s="4" t="n">
        <v>500000</v>
      </c>
      <c r="B19" s="8" t="n">
        <v>0.008</v>
      </c>
      <c r="C19" s="13" t="n">
        <f aca="false">B19*(1-$B$10)</f>
        <v>0.0048</v>
      </c>
      <c r="D19" s="13" t="n">
        <f aca="false">B19*(1-$B$11)</f>
        <v>0.0056</v>
      </c>
    </row>
    <row r="20" customFormat="false" ht="15" hidden="false" customHeight="false" outlineLevel="0" collapsed="false">
      <c r="A20" s="4" t="n">
        <v>1000000</v>
      </c>
      <c r="B20" s="8" t="n">
        <v>0.006</v>
      </c>
      <c r="C20" s="13" t="n">
        <f aca="false">B20*(1-$B$10)</f>
        <v>0.0036</v>
      </c>
      <c r="D20" s="13" t="n">
        <f aca="false">B20*(1-$B$11)</f>
        <v>0.0042</v>
      </c>
    </row>
    <row r="21" customFormat="false" ht="15" hidden="false" customHeight="false" outlineLevel="0" collapsed="false">
      <c r="A21" s="4" t="n">
        <v>5000000</v>
      </c>
      <c r="B21" s="8" t="n">
        <v>0.004</v>
      </c>
      <c r="C21" s="13" t="n">
        <f aca="false">B21*(1-$B$10)</f>
        <v>0.0024</v>
      </c>
      <c r="D21" s="13" t="n">
        <f aca="false">B21*(1-$B$11)</f>
        <v>0.0028</v>
      </c>
    </row>
    <row r="22" customFormat="false" ht="15" hidden="false" customHeight="false" outlineLevel="0" collapsed="false">
      <c r="A22" s="5" t="s">
        <v>28</v>
      </c>
    </row>
    <row r="24" customFormat="false" ht="15" hidden="false" customHeight="false" outlineLevel="0" collapsed="false">
      <c r="A24" s="11" t="s">
        <v>29</v>
      </c>
    </row>
    <row r="25" customFormat="false" ht="15" hidden="false" customHeight="false" outlineLevel="0" collapsed="false">
      <c r="A25" s="3" t="s">
        <v>30</v>
      </c>
      <c r="C25" s="5" t="s">
        <v>31</v>
      </c>
    </row>
    <row r="26" customFormat="false" ht="15" hidden="false" customHeight="false" outlineLevel="0" collapsed="false">
      <c r="A26" s="3" t="s">
        <v>32</v>
      </c>
      <c r="C26" s="5" t="s">
        <v>33</v>
      </c>
    </row>
    <row r="27" customFormat="false" ht="15" hidden="false" customHeight="false" outlineLevel="0" collapsed="false">
      <c r="A27" s="3" t="s">
        <v>34</v>
      </c>
      <c r="C27" s="5" t="s">
        <v>35</v>
      </c>
    </row>
    <row r="29" customFormat="false" ht="15" hidden="false" customHeight="false" outlineLevel="0" collapsed="false">
      <c r="A29" s="11" t="s">
        <v>36</v>
      </c>
    </row>
    <row r="30" customFormat="false" ht="15" hidden="false" customHeight="false" outlineLevel="0" collapsed="false">
      <c r="A30" s="14" t="s">
        <v>37</v>
      </c>
    </row>
    <row r="31" customFormat="false" ht="15" hidden="false" customHeight="false" outlineLevel="0" collapsed="false">
      <c r="A31" s="14" t="s">
        <v>38</v>
      </c>
    </row>
    <row r="32" customFormat="false" ht="15" hidden="false" customHeight="false" outlineLevel="0" collapsed="false">
      <c r="A32" s="14" t="s">
        <v>39</v>
      </c>
    </row>
    <row r="33" customFormat="false" ht="15" hidden="false" customHeight="false" outlineLevel="0" collapsed="false">
      <c r="A33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10" min="8" style="0" width="16"/>
  </cols>
  <sheetData>
    <row r="1" customFormat="false" ht="17.35" hidden="false" customHeight="false" outlineLevel="0" collapsed="false">
      <c r="A1" s="1" t="s">
        <v>41</v>
      </c>
    </row>
    <row r="3" customFormat="false" ht="43.5" hidden="false" customHeight="true" outlineLevel="0" collapsed="false">
      <c r="A3" s="15" t="s">
        <v>42</v>
      </c>
      <c r="B3" s="15" t="s">
        <v>43</v>
      </c>
      <c r="C3" s="15" t="s">
        <v>30</v>
      </c>
      <c r="D3" s="15" t="s">
        <v>32</v>
      </c>
      <c r="E3" s="15" t="s">
        <v>34</v>
      </c>
      <c r="F3" s="15" t="s">
        <v>44</v>
      </c>
      <c r="G3" s="15" t="s">
        <v>45</v>
      </c>
      <c r="H3" s="15" t="s">
        <v>46</v>
      </c>
      <c r="I3" s="15" t="s">
        <v>47</v>
      </c>
      <c r="J3" s="15" t="s">
        <v>48</v>
      </c>
    </row>
    <row r="4" customFormat="false" ht="15" hidden="false" customHeight="false" outlineLevel="0" collapsed="false">
      <c r="A4" s="16" t="n">
        <v>10</v>
      </c>
      <c r="B4" s="17" t="n">
        <f aca="false">INDEX(Roky!$C$2:$C$32,A4+1)</f>
        <v>480000</v>
      </c>
      <c r="C4" s="17" t="n">
        <f aca="false">INDEX(Roky!$K$2:$K$32,A4+1)</f>
        <v>663465.751335199</v>
      </c>
      <c r="D4" s="17" t="n">
        <f aca="false">INDEX(Roky!$E$2:$E$32,A4+1)</f>
        <v>748633.399441524</v>
      </c>
      <c r="E4" s="17" t="n">
        <f aca="false">INDEX(Roky!$F$2:$F$32,A4+1)</f>
        <v>772682.573169316</v>
      </c>
      <c r="F4" s="17" t="n">
        <f aca="false">INDEX(Roky!$L$2:$L$32,A4+1)</f>
        <v>85167.6481063255</v>
      </c>
      <c r="G4" s="17" t="n">
        <f aca="false">INDEX(Roky!$M$2:$M$32,A4+1)</f>
        <v>109216.821834118</v>
      </c>
      <c r="H4" s="17" t="n">
        <f aca="false">INDEX(Roky!$N$2:$N$32,A4+1)</f>
        <v>19421.8189220149</v>
      </c>
      <c r="I4" s="17" t="n">
        <f aca="false">INDEX(Roky!$J$2:$J$32,A4+1)</f>
        <v>10269.3577360777</v>
      </c>
      <c r="J4" s="18" t="str">
        <f aca="false">60-A4&amp;" let"</f>
        <v>50 let</v>
      </c>
    </row>
    <row r="5" customFormat="false" ht="15" hidden="false" customHeight="false" outlineLevel="0" collapsed="false">
      <c r="A5" s="16" t="n">
        <v>20</v>
      </c>
      <c r="B5" s="17" t="n">
        <f aca="false">INDEX(Roky!$C$2:$C$32,A5+1)</f>
        <v>960000</v>
      </c>
      <c r="C5" s="17" t="n">
        <f aca="false">INDEX(Roky!$D$2:$D$32,A5+1)</f>
        <v>1934413.05498402</v>
      </c>
      <c r="D5" s="17" t="n">
        <f aca="false">INDEX(Roky!$E$2:$E$32,A5+1)</f>
        <v>2112330.67866863</v>
      </c>
      <c r="E5" s="17" t="n">
        <f aca="false">INDEX(Roky!$F$2:$F$32,A5+1)</f>
        <v>2247445.2401244</v>
      </c>
      <c r="F5" s="17" t="n">
        <f aca="false">INDEX(Roky!$G$2:$G$32,A5+1)</f>
        <v>177917.623684611</v>
      </c>
      <c r="G5" s="17" t="n">
        <f aca="false">INDEX(Roky!$H$2:$H$32,A5+1)</f>
        <v>313032.18514038</v>
      </c>
      <c r="H5" s="17" t="n">
        <f aca="false">INDEX(Roky!$I$2:$I$32,A5+1)</f>
        <v>64506.0180649211</v>
      </c>
      <c r="I5" s="17" t="n">
        <f aca="false">INDEX(Roky!$J$2:$J$32,A5+1)</f>
        <v>53209.6760238674</v>
      </c>
      <c r="J5" s="18" t="str">
        <f aca="false">60-A5&amp;" let"</f>
        <v>40 let</v>
      </c>
    </row>
    <row r="6" customFormat="false" ht="15" hidden="false" customHeight="false" outlineLevel="0" collapsed="false">
      <c r="A6" s="16" t="n">
        <v>30</v>
      </c>
      <c r="B6" s="17" t="n">
        <f aca="false">INDEX(Roky!$C$2:$C$32,A6+1)</f>
        <v>1440000</v>
      </c>
      <c r="C6" s="17" t="n">
        <f aca="false">INDEX(Roky!$D$2:$D$32,A6+1)</f>
        <v>4345083.25357488</v>
      </c>
      <c r="D6" s="17" t="n">
        <f aca="false">INDEX(Roky!$E$2:$E$32,A6+1)</f>
        <v>4650188.64923265</v>
      </c>
      <c r="E6" s="17" t="n">
        <f aca="false">INDEX(Roky!$F$2:$F$32,A6+1)</f>
        <v>5062776.15045765</v>
      </c>
      <c r="F6" s="17" t="n">
        <f aca="false">INDEX(Roky!$G$2:$G$32,A6+1)</f>
        <v>305105.395657768</v>
      </c>
      <c r="G6" s="17" t="n">
        <f aca="false">INDEX(Roky!$H$2:$H$32,A6+1)</f>
        <v>717692.896882772</v>
      </c>
      <c r="H6" s="17" t="n">
        <f aca="false">INDEX(Roky!$I$2:$I$32,A6+1)</f>
        <v>173330.208809927</v>
      </c>
      <c r="I6" s="17" t="n">
        <f aca="false">INDEX(Roky!$J$2:$J$32,A6+1)</f>
        <v>158532.694781229</v>
      </c>
      <c r="J6" s="18" t="str">
        <f aca="false">60-A6&amp;" let"</f>
        <v>30 let</v>
      </c>
    </row>
    <row r="8" customFormat="false" ht="15" hidden="false" customHeight="false" outlineLevel="0" collapsed="false">
      <c r="A8" s="5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7" min="6" style="0" width="16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2" min="11" style="0" width="14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14"/>
  </cols>
  <sheetData>
    <row r="1" customFormat="false" ht="43.5" hidden="false" customHeight="true" outlineLevel="0" collapsed="false">
      <c r="A1" s="15" t="s">
        <v>50</v>
      </c>
      <c r="B1" s="15" t="s">
        <v>51</v>
      </c>
      <c r="C1" s="15" t="s">
        <v>52</v>
      </c>
      <c r="D1" s="15" t="s">
        <v>53</v>
      </c>
      <c r="E1" s="15" t="s">
        <v>54</v>
      </c>
      <c r="F1" s="15" t="s">
        <v>55</v>
      </c>
      <c r="G1" s="15" t="s">
        <v>56</v>
      </c>
      <c r="H1" s="15" t="s">
        <v>57</v>
      </c>
      <c r="I1" s="15" t="s">
        <v>58</v>
      </c>
      <c r="J1" s="15" t="s">
        <v>59</v>
      </c>
      <c r="K1" s="15" t="s">
        <v>60</v>
      </c>
      <c r="L1" s="15" t="s">
        <v>61</v>
      </c>
      <c r="M1" s="15" t="s">
        <v>62</v>
      </c>
      <c r="N1" s="15" t="s">
        <v>63</v>
      </c>
      <c r="O1" s="15" t="s">
        <v>64</v>
      </c>
      <c r="P1" s="15" t="s">
        <v>65</v>
      </c>
    </row>
    <row r="2" customFormat="false" ht="15" hidden="false" customHeight="false" outlineLevel="0" collapsed="false">
      <c r="A2" s="18" t="n">
        <v>1</v>
      </c>
      <c r="B2" s="18" t="n">
        <f aca="false">ROUNDUP(A2/12,0)</f>
        <v>1</v>
      </c>
      <c r="C2" s="17" t="n">
        <f aca="false">Předpoklady!$B$4</f>
        <v>4000</v>
      </c>
      <c r="D2" s="19" t="n">
        <f aca="false">(0+C2)*(1+Předpoklady!$B$12)</f>
        <v>4022.61658154962</v>
      </c>
      <c r="E2" s="13" t="n">
        <f aca="false">INDEX(Předpoklady!$C$18:$C$21,MATCH(D2,Předpoklady!$A$18:$A$21,1))</f>
        <v>0.006</v>
      </c>
      <c r="F2" s="19" t="n">
        <f aca="false">D2*(1-E2/12)</f>
        <v>4020.60527325885</v>
      </c>
      <c r="G2" s="19" t="n">
        <f aca="false">(0+C2)*(1+Předpoklady!$B$12)*(1-Předpoklady!$B$9/12)</f>
        <v>4021.61092740423</v>
      </c>
      <c r="H2" s="19" t="n">
        <f aca="false">IF(AND(A2&gt;12,MOD(A2,12)=Předpoklady!$B$8),Předpoklady!$B$14,0)</f>
        <v>0</v>
      </c>
      <c r="I2" s="19" t="n">
        <f aca="false">0+H2</f>
        <v>0</v>
      </c>
      <c r="J2" s="19" t="n">
        <f aca="false">0*(1+Předpoklady!$B$12)*(1-Předpoklady!$B$9/12)+H2</f>
        <v>0</v>
      </c>
      <c r="K2" s="19" t="n">
        <f aca="false">0+D2*E2/12</f>
        <v>2.01130829077481</v>
      </c>
      <c r="L2" s="19" t="n">
        <f aca="false">0+((0+C2)+0)*(1+Předpoklady!$B$12)*Předpoklady!$B$9/12</f>
        <v>1.00565414538741</v>
      </c>
      <c r="M2" s="19" t="n">
        <f aca="false">(0+C2)*(1+Předpoklady!$B$12)</f>
        <v>4022.61658154962</v>
      </c>
      <c r="N2" s="13" t="n">
        <f aca="false">INDEX(Předpoklady!$D$18:$D$21,MATCH(M2,Předpoklady!$A$18:$A$21,1))</f>
        <v>0.007</v>
      </c>
      <c r="O2" s="19" t="n">
        <f aca="false">M2*(1-N2/12)</f>
        <v>4020.27005521038</v>
      </c>
      <c r="P2" s="19" t="n">
        <f aca="false">0+M2*N2/12</f>
        <v>2.34652633923728</v>
      </c>
    </row>
    <row r="3" customFormat="false" ht="15" hidden="false" customHeight="false" outlineLevel="0" collapsed="false">
      <c r="A3" s="18" t="n">
        <v>2</v>
      </c>
      <c r="B3" s="18" t="n">
        <f aca="false">ROUNDUP(A3/12,0)</f>
        <v>1</v>
      </c>
      <c r="C3" s="17" t="n">
        <f aca="false">Předpoklady!$B$4</f>
        <v>4000</v>
      </c>
      <c r="D3" s="19" t="n">
        <f aca="false">(F2+C3)*(1+Předpoklady!$B$12)</f>
        <v>8065.95494156884</v>
      </c>
      <c r="E3" s="13" t="n">
        <f aca="false">INDEX(Předpoklady!$C$18:$C$21,MATCH(D3,Předpoklady!$A$18:$A$21,1))</f>
        <v>0.006</v>
      </c>
      <c r="F3" s="19" t="n">
        <f aca="false">D3*(1-E3/12)</f>
        <v>8061.92196409806</v>
      </c>
      <c r="G3" s="19" t="n">
        <f aca="false">(G2+C3)*(1+Předpoklady!$B$12)*(1-Předpoklady!$B$9/12)</f>
        <v>8064.94954025852</v>
      </c>
      <c r="H3" s="19" t="n">
        <f aca="false">IF(AND(A3&gt;12,MOD(A3,12)=Předpoklady!$B$8),Předpoklady!$B$14,0)</f>
        <v>0</v>
      </c>
      <c r="I3" s="19" t="n">
        <f aca="false">I2+H3</f>
        <v>0</v>
      </c>
      <c r="J3" s="19" t="n">
        <f aca="false">J2*(1+Předpoklady!$B$12)*(1-Předpoklady!$B$9/12)+H3</f>
        <v>0</v>
      </c>
      <c r="K3" s="19" t="n">
        <f aca="false">K2+D3*E3/12</f>
        <v>6.04428576155923</v>
      </c>
      <c r="L3" s="19" t="n">
        <f aca="false">L2+((G2+C3)+J2)*(1+Předpoklady!$B$12)*Předpoklady!$B$9/12</f>
        <v>3.02239571584465</v>
      </c>
      <c r="M3" s="19" t="n">
        <f aca="false">(O2+C3)*(1+Předpoklady!$B$12)</f>
        <v>8065.6178281488</v>
      </c>
      <c r="N3" s="13" t="n">
        <f aca="false">INDEX(Předpoklady!$D$18:$D$21,MATCH(M3,Předpoklady!$A$18:$A$21,1))</f>
        <v>0.007</v>
      </c>
      <c r="O3" s="19" t="n">
        <f aca="false">M3*(1-N3/12)</f>
        <v>8060.91288441571</v>
      </c>
      <c r="P3" s="19" t="n">
        <f aca="false">P2+M3*N3/12</f>
        <v>7.05147007232408</v>
      </c>
    </row>
    <row r="4" customFormat="false" ht="15" hidden="false" customHeight="false" outlineLevel="0" collapsed="false">
      <c r="A4" s="18" t="n">
        <v>3</v>
      </c>
      <c r="B4" s="18" t="n">
        <f aca="false">ROUNDUP(A4/12,0)</f>
        <v>1</v>
      </c>
      <c r="C4" s="17" t="n">
        <f aca="false">Předpoklady!$B$4</f>
        <v>4000</v>
      </c>
      <c r="D4" s="19" t="n">
        <f aca="false">(F3+C4)*(1+Předpoklady!$B$12)</f>
        <v>12130.1218245346</v>
      </c>
      <c r="E4" s="13" t="n">
        <f aca="false">INDEX(Předpoklady!$C$18:$C$21,MATCH(D4,Předpoklady!$A$18:$A$21,1))</f>
        <v>0.006</v>
      </c>
      <c r="F4" s="19" t="n">
        <f aca="false">D4*(1-E4/12)</f>
        <v>12124.0567636223</v>
      </c>
      <c r="G4" s="19" t="n">
        <f aca="false">(G3+C4)*(1+Předpoklady!$B$12)*(1-Předpoklady!$B$9/12)</f>
        <v>12130.1332274211</v>
      </c>
      <c r="H4" s="19" t="n">
        <f aca="false">IF(AND(A4&gt;12,MOD(A4,12)=Předpoklady!$B$8),Předpoklady!$B$14,0)</f>
        <v>0</v>
      </c>
      <c r="I4" s="19" t="n">
        <f aca="false">I3+H4</f>
        <v>0</v>
      </c>
      <c r="J4" s="19" t="n">
        <f aca="false">J3*(1+Předpoklady!$B$12)*(1-Předpoklady!$B$9/12)+H4</f>
        <v>0</v>
      </c>
      <c r="K4" s="19" t="n">
        <f aca="false">K3+D4*E4/12</f>
        <v>12.1093466738265</v>
      </c>
      <c r="L4" s="19" t="n">
        <f aca="false">L3+((G3+C4)+J3)*(1+Předpoklady!$B$12)*Předpoklady!$B$9/12</f>
        <v>6.05568734560736</v>
      </c>
      <c r="M4" s="19" t="n">
        <f aca="false">(O3+C4)*(1+Předpoklady!$B$12)</f>
        <v>12129.107039369</v>
      </c>
      <c r="N4" s="13" t="n">
        <f aca="false">INDEX(Předpoklady!$D$18:$D$21,MATCH(M4,Předpoklady!$A$18:$A$21,1))</f>
        <v>0.007</v>
      </c>
      <c r="O4" s="19" t="n">
        <f aca="false">M4*(1-N4/12)</f>
        <v>12122.0317269294</v>
      </c>
      <c r="P4" s="19" t="n">
        <f aca="false">P3+M4*N4/12</f>
        <v>14.126782511956</v>
      </c>
    </row>
    <row r="5" customFormat="false" ht="15" hidden="false" customHeight="false" outlineLevel="0" collapsed="false">
      <c r="A5" s="18" t="n">
        <v>4</v>
      </c>
      <c r="B5" s="18" t="n">
        <f aca="false">ROUNDUP(A5/12,0)</f>
        <v>1</v>
      </c>
      <c r="C5" s="17" t="n">
        <f aca="false">Předpoklady!$B$4</f>
        <v>4000</v>
      </c>
      <c r="D5" s="19" t="n">
        <f aca="false">(F4+C5)*(1+Předpoklady!$B$12)</f>
        <v>16215.2245247986</v>
      </c>
      <c r="E5" s="13" t="n">
        <f aca="false">INDEX(Předpoklady!$C$18:$C$21,MATCH(D5,Předpoklady!$A$18:$A$21,1))</f>
        <v>0.006</v>
      </c>
      <c r="F5" s="19" t="n">
        <f aca="false">D5*(1-E5/12)</f>
        <v>16207.1169125362</v>
      </c>
      <c r="G5" s="19" t="n">
        <f aca="false">(G4+C5)*(1+Předpoklady!$B$12)*(1-Předpoklady!$B$9/12)</f>
        <v>16217.2800119707</v>
      </c>
      <c r="H5" s="19" t="n">
        <f aca="false">IF(AND(A5&gt;12,MOD(A5,12)=Předpoklady!$B$8),Předpoklady!$B$14,0)</f>
        <v>0</v>
      </c>
      <c r="I5" s="19" t="n">
        <f aca="false">I4+H5</f>
        <v>0</v>
      </c>
      <c r="J5" s="19" t="n">
        <f aca="false">J4*(1+Předpoklady!$B$12)*(1-Předpoklady!$B$9/12)+H5</f>
        <v>0</v>
      </c>
      <c r="K5" s="19" t="n">
        <f aca="false">K4+D5*E5/12</f>
        <v>20.2169589362259</v>
      </c>
      <c r="L5" s="19" t="n">
        <f aca="false">L4+((G4+C5)+J4)*(1+Předpoklady!$B$12)*Předpoklady!$B$9/12</f>
        <v>10.1110211820591</v>
      </c>
      <c r="M5" s="19" t="n">
        <f aca="false">(O4+C5)*(1+Předpoklady!$B$12)</f>
        <v>16213.1880382538</v>
      </c>
      <c r="N5" s="13" t="n">
        <f aca="false">INDEX(Předpoklady!$D$18:$D$21,MATCH(M5,Předpoklady!$A$18:$A$21,1))</f>
        <v>0.007</v>
      </c>
      <c r="O5" s="19" t="n">
        <f aca="false">M5*(1-N5/12)</f>
        <v>16203.7303452315</v>
      </c>
      <c r="P5" s="19" t="n">
        <f aca="false">P4+M5*N5/12</f>
        <v>23.5844755342707</v>
      </c>
    </row>
    <row r="6" customFormat="false" ht="15" hidden="false" customHeight="false" outlineLevel="0" collapsed="false">
      <c r="A6" s="18" t="n">
        <v>5</v>
      </c>
      <c r="B6" s="18" t="n">
        <f aca="false">ROUNDUP(A6/12,0)</f>
        <v>1</v>
      </c>
      <c r="C6" s="17" t="n">
        <f aca="false">Předpoklady!$B$4</f>
        <v>4000</v>
      </c>
      <c r="D6" s="19" t="n">
        <f aca="false">(F5+C6)*(1+Předpoklady!$B$12)</f>
        <v>20321.37088942</v>
      </c>
      <c r="E6" s="13" t="n">
        <f aca="false">INDEX(Předpoklady!$C$18:$C$21,MATCH(D6,Předpoklady!$A$18:$A$21,1))</f>
        <v>0.006</v>
      </c>
      <c r="F6" s="19" t="n">
        <f aca="false">D6*(1-E6/12)</f>
        <v>20311.2102039753</v>
      </c>
      <c r="G6" s="19" t="n">
        <f aca="false">(G5+C6)*(1+Předpoklady!$B$12)*(1-Předpoklady!$B$9/12)</f>
        <v>20326.5085546331</v>
      </c>
      <c r="H6" s="19" t="n">
        <f aca="false">IF(AND(A6&gt;12,MOD(A6,12)=Předpoklady!$B$8),Předpoklady!$B$14,0)</f>
        <v>0</v>
      </c>
      <c r="I6" s="19" t="n">
        <f aca="false">I5+H6</f>
        <v>0</v>
      </c>
      <c r="J6" s="19" t="n">
        <f aca="false">J5*(1+Předpoklady!$B$12)*(1-Předpoklady!$B$9/12)+H6</f>
        <v>0</v>
      </c>
      <c r="K6" s="19" t="n">
        <f aca="false">K5+D6*E6/12</f>
        <v>30.3776443809359</v>
      </c>
      <c r="L6" s="19" t="n">
        <f aca="false">L5+((G5+C6)+J5)*(1+Předpoklady!$B$12)*Předpoklady!$B$9/12</f>
        <v>15.1939190451832</v>
      </c>
      <c r="M6" s="19" t="n">
        <f aca="false">(O5+C6)*(1+Předpoklady!$B$12)</f>
        <v>20317.9651739714</v>
      </c>
      <c r="N6" s="13" t="n">
        <f aca="false">INDEX(Předpoklady!$D$18:$D$21,MATCH(M6,Předpoklady!$A$18:$A$21,1))</f>
        <v>0.007</v>
      </c>
      <c r="O6" s="19" t="n">
        <f aca="false">M6*(1-N6/12)</f>
        <v>20306.1130276199</v>
      </c>
      <c r="P6" s="19" t="n">
        <f aca="false">P5+M6*N6/12</f>
        <v>35.436621885754</v>
      </c>
    </row>
    <row r="7" customFormat="false" ht="15" hidden="false" customHeight="false" outlineLevel="0" collapsed="false">
      <c r="A7" s="18" t="n">
        <v>6</v>
      </c>
      <c r="B7" s="18" t="n">
        <f aca="false">ROUNDUP(A7/12,0)</f>
        <v>1</v>
      </c>
      <c r="C7" s="17" t="n">
        <f aca="false">Předpoklady!$B$4</f>
        <v>4000</v>
      </c>
      <c r="D7" s="19" t="n">
        <f aca="false">(F6+C7)*(1+Předpoklady!$B$12)</f>
        <v>24448.6693210124</v>
      </c>
      <c r="E7" s="13" t="n">
        <f aca="false">INDEX(Předpoklady!$C$18:$C$21,MATCH(D7,Předpoklady!$A$18:$A$21,1))</f>
        <v>0.006</v>
      </c>
      <c r="F7" s="19" t="n">
        <f aca="false">D7*(1-E7/12)</f>
        <v>24436.4449863518</v>
      </c>
      <c r="G7" s="19" t="n">
        <f aca="false">(G6+C7)*(1+Předpoklady!$B$12)*(1-Předpoklady!$B$9/12)</f>
        <v>24457.9381572263</v>
      </c>
      <c r="H7" s="19" t="n">
        <f aca="false">IF(AND(A7&gt;12,MOD(A7,12)=Předpoklady!$B$8),Předpoklady!$B$14,0)</f>
        <v>0</v>
      </c>
      <c r="I7" s="19" t="n">
        <f aca="false">I6+H7</f>
        <v>0</v>
      </c>
      <c r="J7" s="19" t="n">
        <f aca="false">J6*(1+Předpoklady!$B$12)*(1-Předpoklady!$B$9/12)+H7</f>
        <v>0</v>
      </c>
      <c r="K7" s="19" t="n">
        <f aca="false">K6+D7*E7/12</f>
        <v>42.601979041442</v>
      </c>
      <c r="L7" s="19" t="n">
        <f aca="false">L6+((G6+C7)+J6)*(1+Předpoklady!$B$12)*Předpoklady!$B$9/12</f>
        <v>21.3099325878755</v>
      </c>
      <c r="M7" s="19" t="n">
        <f aca="false">(O6+C7)*(1+Předpoklady!$B$12)</f>
        <v>24443.5433244808</v>
      </c>
      <c r="N7" s="13" t="n">
        <f aca="false">INDEX(Předpoklady!$D$18:$D$21,MATCH(M7,Předpoklady!$A$18:$A$21,1))</f>
        <v>0.007</v>
      </c>
      <c r="O7" s="19" t="n">
        <f aca="false">M7*(1-N7/12)</f>
        <v>24429.2845908748</v>
      </c>
      <c r="P7" s="19" t="n">
        <f aca="false">P6+M7*N7/12</f>
        <v>49.6953554917011</v>
      </c>
    </row>
    <row r="8" customFormat="false" ht="15" hidden="false" customHeight="false" outlineLevel="0" collapsed="false">
      <c r="A8" s="18" t="n">
        <v>7</v>
      </c>
      <c r="B8" s="18" t="n">
        <f aca="false">ROUNDUP(A8/12,0)</f>
        <v>1</v>
      </c>
      <c r="C8" s="17" t="n">
        <f aca="false">Předpoklady!$B$4</f>
        <v>4000</v>
      </c>
      <c r="D8" s="19" t="n">
        <f aca="false">(F7+C8)*(1+Předpoklady!$B$12)</f>
        <v>28597.2287806056</v>
      </c>
      <c r="E8" s="13" t="n">
        <f aca="false">INDEX(Předpoklady!$C$18:$C$21,MATCH(D8,Předpoklady!$A$18:$A$21,1))</f>
        <v>0.006</v>
      </c>
      <c r="F8" s="19" t="n">
        <f aca="false">D8*(1-E8/12)</f>
        <v>28582.9301662153</v>
      </c>
      <c r="G8" s="19" t="n">
        <f aca="false">(G7+C8)*(1+Předpoklady!$B$12)*(1-Předpoklady!$B$9/12)</f>
        <v>28611.6887661238</v>
      </c>
      <c r="H8" s="19" t="n">
        <f aca="false">IF(AND(A8&gt;12,MOD(A8,12)=Předpoklady!$B$8),Předpoklady!$B$14,0)</f>
        <v>0</v>
      </c>
      <c r="I8" s="19" t="n">
        <f aca="false">I7+H8</f>
        <v>0</v>
      </c>
      <c r="J8" s="19" t="n">
        <f aca="false">J7*(1+Předpoklady!$B$12)*(1-Předpoklady!$B$9/12)+H8</f>
        <v>0</v>
      </c>
      <c r="K8" s="19" t="n">
        <f aca="false">K7+D8*E8/12</f>
        <v>56.9005934317448</v>
      </c>
      <c r="L8" s="19" t="n">
        <f aca="false">L7+((G7+C8)+J7)*(1+Předpoklady!$B$12)*Předpoklady!$B$9/12</f>
        <v>28.4646434571237</v>
      </c>
      <c r="M8" s="19" t="n">
        <f aca="false">(O7+C8)*(1+Předpoklady!$B$12)</f>
        <v>28590.0278992115</v>
      </c>
      <c r="N8" s="13" t="n">
        <f aca="false">INDEX(Předpoklady!$D$18:$D$21,MATCH(M8,Předpoklady!$A$18:$A$21,1))</f>
        <v>0.007</v>
      </c>
      <c r="O8" s="19" t="n">
        <f aca="false">M8*(1-N8/12)</f>
        <v>28573.350382937</v>
      </c>
      <c r="P8" s="19" t="n">
        <f aca="false">P7+M8*N8/12</f>
        <v>66.3728717662412</v>
      </c>
    </row>
    <row r="9" customFormat="false" ht="15" hidden="false" customHeight="false" outlineLevel="0" collapsed="false">
      <c r="A9" s="18" t="n">
        <v>8</v>
      </c>
      <c r="B9" s="18" t="n">
        <f aca="false">ROUNDUP(A9/12,0)</f>
        <v>1</v>
      </c>
      <c r="C9" s="17" t="n">
        <f aca="false">Předpoklady!$B$4</f>
        <v>4000</v>
      </c>
      <c r="D9" s="19" t="n">
        <f aca="false">(F8+C9)*(1+Předpoklady!$B$12)</f>
        <v>32767.1587905228</v>
      </c>
      <c r="E9" s="13" t="n">
        <f aca="false">INDEX(Předpoklady!$C$18:$C$21,MATCH(D9,Předpoklady!$A$18:$A$21,1))</f>
        <v>0.006</v>
      </c>
      <c r="F9" s="19" t="n">
        <f aca="false">D9*(1-E9/12)</f>
        <v>32750.7752111275</v>
      </c>
      <c r="G9" s="19" t="n">
        <f aca="false">(G8+C9)*(1+Předpoklady!$B$12)*(1-Předpoklady!$B$9/12)</f>
        <v>32787.8809757373</v>
      </c>
      <c r="H9" s="19" t="n">
        <f aca="false">IF(AND(A9&gt;12,MOD(A9,12)=Předpoklady!$B$8),Předpoklady!$B$14,0)</f>
        <v>0</v>
      </c>
      <c r="I9" s="19" t="n">
        <f aca="false">I8+H9</f>
        <v>0</v>
      </c>
      <c r="J9" s="19" t="n">
        <f aca="false">J8*(1+Předpoklady!$B$12)*(1-Předpoklady!$B$9/12)+H9</f>
        <v>0</v>
      </c>
      <c r="K9" s="19" t="n">
        <f aca="false">K8+D9*E9/12</f>
        <v>73.2841728270062</v>
      </c>
      <c r="L9" s="19" t="n">
        <f aca="false">L8+((G8+C9)+J8)*(1+Předpoklady!$B$12)*Předpoklady!$B$9/12</f>
        <v>36.6636634560578</v>
      </c>
      <c r="M9" s="19" t="n">
        <f aca="false">(O8+C9)*(1+Předpoklady!$B$12)</f>
        <v>32757.524841757</v>
      </c>
      <c r="N9" s="13" t="n">
        <f aca="false">INDEX(Předpoklady!$D$18:$D$21,MATCH(M9,Předpoklady!$A$18:$A$21,1))</f>
        <v>0.007</v>
      </c>
      <c r="O9" s="19" t="n">
        <f aca="false">M9*(1-N9/12)</f>
        <v>32738.4162855993</v>
      </c>
      <c r="P9" s="19" t="n">
        <f aca="false">P8+M9*N9/12</f>
        <v>85.4814279239328</v>
      </c>
    </row>
    <row r="10" customFormat="false" ht="15" hidden="false" customHeight="false" outlineLevel="0" collapsed="false">
      <c r="A10" s="18" t="n">
        <v>9</v>
      </c>
      <c r="B10" s="18" t="n">
        <f aca="false">ROUNDUP(A10/12,0)</f>
        <v>1</v>
      </c>
      <c r="C10" s="17" t="n">
        <f aca="false">Předpoklady!$B$4</f>
        <v>4000</v>
      </c>
      <c r="D10" s="19" t="n">
        <f aca="false">(F9+C10)*(1+Předpoklady!$B$12)</f>
        <v>36958.5694372711</v>
      </c>
      <c r="E10" s="13" t="n">
        <f aca="false">INDEX(Předpoklady!$C$18:$C$21,MATCH(D10,Předpoklady!$A$18:$A$21,1))</f>
        <v>0.006</v>
      </c>
      <c r="F10" s="19" t="n">
        <f aca="false">D10*(1-E10/12)</f>
        <v>36940.0901525525</v>
      </c>
      <c r="G10" s="19" t="n">
        <f aca="false">(G9+C10)*(1+Předpoklady!$B$12)*(1-Předpoklady!$B$9/12)</f>
        <v>36986.6360320179</v>
      </c>
      <c r="H10" s="19" t="n">
        <f aca="false">IF(AND(A10&gt;12,MOD(A10,12)=Předpoklady!$B$8),Předpoklady!$B$14,0)</f>
        <v>0</v>
      </c>
      <c r="I10" s="19" t="n">
        <f aca="false">I9+H10</f>
        <v>0</v>
      </c>
      <c r="J10" s="19" t="n">
        <f aca="false">J9*(1+Předpoklady!$B$12)*(1-Předpoklady!$B$9/12)+H10</f>
        <v>0</v>
      </c>
      <c r="K10" s="19" t="n">
        <f aca="false">K9+D10*E10/12</f>
        <v>91.7634575456418</v>
      </c>
      <c r="L10" s="19" t="n">
        <f aca="false">L9+((G9+C10)+J9)*(1+Předpoklady!$B$12)*Předpoklady!$B$9/12</f>
        <v>45.912634706875</v>
      </c>
      <c r="M10" s="19" t="n">
        <f aca="false">(O9+C10)*(1+Předpoklady!$B$12)</f>
        <v>36946.1406325811</v>
      </c>
      <c r="N10" s="13" t="n">
        <f aca="false">INDEX(Předpoklady!$D$18:$D$21,MATCH(M10,Předpoklady!$A$18:$A$21,1))</f>
        <v>0.007</v>
      </c>
      <c r="O10" s="19" t="n">
        <f aca="false">M10*(1-N10/12)</f>
        <v>36924.5887172121</v>
      </c>
      <c r="P10" s="19" t="n">
        <f aca="false">P9+M10*N10/12</f>
        <v>107.033343292938</v>
      </c>
    </row>
    <row r="11" customFormat="false" ht="15" hidden="false" customHeight="false" outlineLevel="0" collapsed="false">
      <c r="A11" s="18" t="n">
        <v>10</v>
      </c>
      <c r="B11" s="18" t="n">
        <f aca="false">ROUNDUP(A11/12,0)</f>
        <v>1</v>
      </c>
      <c r="C11" s="17" t="n">
        <f aca="false">Předpoklady!$B$4</f>
        <v>4000</v>
      </c>
      <c r="D11" s="19" t="n">
        <f aca="false">(F10+C11)*(1+Předpoklady!$B$12)</f>
        <v>41171.5713744485</v>
      </c>
      <c r="E11" s="13" t="n">
        <f aca="false">INDEX(Předpoklady!$C$18:$C$21,MATCH(D11,Předpoklady!$A$18:$A$21,1))</f>
        <v>0.006</v>
      </c>
      <c r="F11" s="19" t="n">
        <f aca="false">D11*(1-E11/12)</f>
        <v>41150.9855887612</v>
      </c>
      <c r="G11" s="19" t="n">
        <f aca="false">(G10+C11)*(1+Předpoklady!$B$12)*(1-Předpoklady!$B$9/12)</f>
        <v>41208.0758359758</v>
      </c>
      <c r="H11" s="19" t="n">
        <f aca="false">IF(AND(A11&gt;12,MOD(A11,12)=Předpoklady!$B$8),Předpoklady!$B$14,0)</f>
        <v>0</v>
      </c>
      <c r="I11" s="19" t="n">
        <f aca="false">I10+H11</f>
        <v>0</v>
      </c>
      <c r="J11" s="19" t="n">
        <f aca="false">J10*(1+Předpoklady!$B$12)*(1-Předpoklady!$B$9/12)+H11</f>
        <v>0</v>
      </c>
      <c r="K11" s="19" t="n">
        <f aca="false">K10+D11*E11/12</f>
        <v>112.349243232866</v>
      </c>
      <c r="L11" s="19" t="n">
        <f aca="false">L10+((G10+C11)+J10)*(1+Předpoklady!$B$12)*Předpoklady!$B$9/12</f>
        <v>56.2172298146459</v>
      </c>
      <c r="M11" s="19" t="n">
        <f aca="false">(O10+C11)*(1+Předpoklady!$B$12)</f>
        <v>41155.982291739</v>
      </c>
      <c r="N11" s="13" t="n">
        <f aca="false">INDEX(Předpoklady!$D$18:$D$21,MATCH(M11,Předpoklady!$A$18:$A$21,1))</f>
        <v>0.007</v>
      </c>
      <c r="O11" s="19" t="n">
        <f aca="false">M11*(1-N11/12)</f>
        <v>41131.9746354021</v>
      </c>
      <c r="P11" s="19" t="n">
        <f aca="false">P10+M11*N11/12</f>
        <v>131.040999629786</v>
      </c>
    </row>
    <row r="12" customFormat="false" ht="15" hidden="false" customHeight="false" outlineLevel="0" collapsed="false">
      <c r="A12" s="18" t="n">
        <v>11</v>
      </c>
      <c r="B12" s="18" t="n">
        <f aca="false">ROUNDUP(A12/12,0)</f>
        <v>1</v>
      </c>
      <c r="C12" s="17" t="n">
        <f aca="false">Předpoklady!$B$4</f>
        <v>4000</v>
      </c>
      <c r="D12" s="19" t="n">
        <f aca="false">(F11+C12)*(1+Předpoklady!$B$12)</f>
        <v>45406.2758256647</v>
      </c>
      <c r="E12" s="13" t="n">
        <f aca="false">INDEX(Předpoklady!$C$18:$C$21,MATCH(D12,Předpoklady!$A$18:$A$21,1))</f>
        <v>0.006</v>
      </c>
      <c r="F12" s="19" t="n">
        <f aca="false">D12*(1-E12/12)</f>
        <v>45383.5726877519</v>
      </c>
      <c r="G12" s="19" t="n">
        <f aca="false">(G11+C12)*(1+Předpoklady!$B$12)*(1-Předpoklady!$B$9/12)</f>
        <v>45452.3229472199</v>
      </c>
      <c r="H12" s="19" t="n">
        <f aca="false">IF(AND(A12&gt;12,MOD(A12,12)=Předpoklady!$B$8),Předpoklady!$B$14,0)</f>
        <v>0</v>
      </c>
      <c r="I12" s="19" t="n">
        <f aca="false">I11+H12</f>
        <v>0</v>
      </c>
      <c r="J12" s="19" t="n">
        <f aca="false">J11*(1+Předpoklady!$B$12)*(1-Předpoklady!$B$9/12)+H12</f>
        <v>0</v>
      </c>
      <c r="K12" s="19" t="n">
        <f aca="false">K11+D12*E12/12</f>
        <v>135.052381145698</v>
      </c>
      <c r="L12" s="19" t="n">
        <f aca="false">L11+((G11+C12)+J11)*(1+Předpoklady!$B$12)*Předpoklady!$B$9/12</f>
        <v>67.5831520320052</v>
      </c>
      <c r="M12" s="19" t="n">
        <f aca="false">(O11+C12)*(1+Předpoklady!$B$12)</f>
        <v>45387.1573816114</v>
      </c>
      <c r="N12" s="13" t="n">
        <f aca="false">INDEX(Předpoklady!$D$18:$D$21,MATCH(M12,Předpoklady!$A$18:$A$21,1))</f>
        <v>0.007</v>
      </c>
      <c r="O12" s="19" t="n">
        <f aca="false">M12*(1-N12/12)</f>
        <v>45360.6815398054</v>
      </c>
      <c r="P12" s="19" t="n">
        <f aca="false">P11+M12*N12/12</f>
        <v>157.516841435726</v>
      </c>
    </row>
    <row r="13" customFormat="false" ht="15" hidden="false" customHeight="false" outlineLevel="0" collapsed="false">
      <c r="A13" s="18" t="n">
        <v>12</v>
      </c>
      <c r="B13" s="18" t="n">
        <f aca="false">ROUNDUP(A13/12,0)</f>
        <v>1</v>
      </c>
      <c r="C13" s="17" t="n">
        <f aca="false">Předpoklady!$B$4</f>
        <v>4000</v>
      </c>
      <c r="D13" s="19" t="n">
        <f aca="false">(F12+C13)*(1+Předpoklady!$B$12)</f>
        <v>49662.7945874779</v>
      </c>
      <c r="E13" s="13" t="n">
        <f aca="false">INDEX(Předpoklady!$C$18:$C$21,MATCH(D13,Předpoklady!$A$18:$A$21,1))</f>
        <v>0.006</v>
      </c>
      <c r="F13" s="19" t="n">
        <f aca="false">D13*(1-E13/12)</f>
        <v>49637.9631901842</v>
      </c>
      <c r="G13" s="19" t="n">
        <f aca="false">(G12+C13)*(1+Předpoklady!$B$12)*(1-Předpoklady!$B$9/12)</f>
        <v>49719.5005875157</v>
      </c>
      <c r="H13" s="19" t="n">
        <f aca="false">IF(AND(A13&gt;12,MOD(A13,12)=Předpoklady!$B$8),Předpoklady!$B$14,0)</f>
        <v>0</v>
      </c>
      <c r="I13" s="19" t="n">
        <f aca="false">I12+H13</f>
        <v>0</v>
      </c>
      <c r="J13" s="19" t="n">
        <f aca="false">J12*(1+Předpoklady!$B$12)*(1-Předpoklady!$B$9/12)+H13</f>
        <v>0</v>
      </c>
      <c r="K13" s="19" t="n">
        <f aca="false">K12+D13*E13/12</f>
        <v>159.883778439437</v>
      </c>
      <c r="L13" s="19" t="n">
        <f aca="false">L12+((G12+C13)+J12)*(1+Předpoklady!$B$12)*Předpoklady!$B$9/12</f>
        <v>80.0161354247323</v>
      </c>
      <c r="M13" s="19" t="n">
        <f aca="false">(O12+C13)*(1+Předpoklady!$B$12)</f>
        <v>49639.7740096529</v>
      </c>
      <c r="N13" s="13" t="n">
        <f aca="false">INDEX(Předpoklady!$D$18:$D$21,MATCH(M13,Předpoklady!$A$18:$A$21,1))</f>
        <v>0.007</v>
      </c>
      <c r="O13" s="19" t="n">
        <f aca="false">M13*(1-N13/12)</f>
        <v>49610.817474814</v>
      </c>
      <c r="P13" s="19" t="n">
        <f aca="false">P12+M13*N13/12</f>
        <v>186.47337627469</v>
      </c>
    </row>
    <row r="14" customFormat="false" ht="15" hidden="false" customHeight="false" outlineLevel="0" collapsed="false">
      <c r="A14" s="18" t="n">
        <v>13</v>
      </c>
      <c r="B14" s="18" t="n">
        <f aca="false">ROUNDUP(A14/12,0)</f>
        <v>2</v>
      </c>
      <c r="C14" s="17" t="n">
        <f aca="false">Předpoklady!$B$4</f>
        <v>4000</v>
      </c>
      <c r="D14" s="19" t="n">
        <f aca="false">(F13+C14)*(1+Předpoklady!$B$12)</f>
        <v>53941.2400323458</v>
      </c>
      <c r="E14" s="13" t="n">
        <f aca="false">INDEX(Předpoklady!$C$18:$C$21,MATCH(D14,Předpoklady!$A$18:$A$21,1))</f>
        <v>0.006</v>
      </c>
      <c r="F14" s="19" t="n">
        <f aca="false">D14*(1-E14/12)</f>
        <v>53914.2694123296</v>
      </c>
      <c r="G14" s="19" t="n">
        <f aca="false">(G13+C14)*(1+Předpoklady!$B$12)*(1-Předpoklady!$B$9/12)</f>
        <v>54009.7326443628</v>
      </c>
      <c r="H14" s="19" t="n">
        <f aca="false">IF(AND(A14&gt;12,MOD(A14,12)=Předpoklady!$B$8),Předpoklady!$B$14,0)</f>
        <v>0</v>
      </c>
      <c r="I14" s="19" t="n">
        <f aca="false">I13+H14</f>
        <v>0</v>
      </c>
      <c r="J14" s="19" t="n">
        <f aca="false">J13*(1+Předpoklady!$B$12)*(1-Předpoklady!$B$9/12)+H14</f>
        <v>0</v>
      </c>
      <c r="K14" s="19" t="n">
        <f aca="false">K13+D14*E14/12</f>
        <v>186.85439845561</v>
      </c>
      <c r="L14" s="19" t="n">
        <f aca="false">L13+((G13+C14)+J13)*(1+Předpoklady!$B$12)*Předpoklady!$B$9/12</f>
        <v>93.5219450382264</v>
      </c>
      <c r="M14" s="19" t="n">
        <f aca="false">(O13+C14)*(1+Předpoklady!$B$12)</f>
        <v>53913.9408311542</v>
      </c>
      <c r="N14" s="13" t="n">
        <f aca="false">INDEX(Předpoklady!$D$18:$D$21,MATCH(M14,Předpoklady!$A$18:$A$21,1))</f>
        <v>0.007</v>
      </c>
      <c r="O14" s="19" t="n">
        <f aca="false">M14*(1-N14/12)</f>
        <v>53882.491032336</v>
      </c>
      <c r="P14" s="19" t="n">
        <f aca="false">P13+M14*N14/12</f>
        <v>217.923175092864</v>
      </c>
    </row>
    <row r="15" customFormat="false" ht="15" hidden="false" customHeight="false" outlineLevel="0" collapsed="false">
      <c r="A15" s="18" t="n">
        <v>14</v>
      </c>
      <c r="B15" s="18" t="n">
        <f aca="false">ROUNDUP(A15/12,0)</f>
        <v>2</v>
      </c>
      <c r="C15" s="17" t="n">
        <f aca="false">Předpoklady!$B$4</f>
        <v>4000</v>
      </c>
      <c r="D15" s="19" t="n">
        <f aca="false">(F14+C15)*(1+Předpoklady!$B$12)</f>
        <v>58241.7251115923</v>
      </c>
      <c r="E15" s="13" t="n">
        <f aca="false">INDEX(Předpoklady!$C$18:$C$21,MATCH(D15,Předpoklady!$A$18:$A$21,1))</f>
        <v>0.006</v>
      </c>
      <c r="F15" s="19" t="n">
        <f aca="false">D15*(1-E15/12)</f>
        <v>58212.6042490365</v>
      </c>
      <c r="G15" s="19" t="n">
        <f aca="false">(G14+C15)*(1+Předpoklady!$B$12)*(1-Předpoklady!$B$9/12)</f>
        <v>58323.1436745919</v>
      </c>
      <c r="H15" s="19" t="n">
        <f aca="false">IF(AND(A15&gt;12,MOD(A15,12)=Předpoklady!$B$8),Předpoklady!$B$14,0)</f>
        <v>0</v>
      </c>
      <c r="I15" s="19" t="n">
        <f aca="false">I14+H15</f>
        <v>0</v>
      </c>
      <c r="J15" s="19" t="n">
        <f aca="false">J14*(1+Předpoklady!$B$12)*(1-Předpoklady!$B$9/12)+H15</f>
        <v>0</v>
      </c>
      <c r="K15" s="19" t="n">
        <f aca="false">K14+D15*E15/12</f>
        <v>215.975261011406</v>
      </c>
      <c r="L15" s="19" t="n">
        <f aca="false">L14+((G14+C15)+J14)*(1+Předpoklady!$B$12)*Předpoklady!$B$9/12</f>
        <v>108.106377064881</v>
      </c>
      <c r="M15" s="19" t="n">
        <f aca="false">(O14+C15)*(1+Předpoklady!$B$12)</f>
        <v>58209.767052018</v>
      </c>
      <c r="N15" s="13" t="n">
        <f aca="false">INDEX(Předpoklady!$D$18:$D$21,MATCH(M15,Předpoklady!$A$18:$A$21,1))</f>
        <v>0.007</v>
      </c>
      <c r="O15" s="19" t="n">
        <f aca="false">M15*(1-N15/12)</f>
        <v>58175.811354571</v>
      </c>
      <c r="P15" s="19" t="n">
        <f aca="false">P14+M15*N15/12</f>
        <v>251.878872539874</v>
      </c>
    </row>
    <row r="16" customFormat="false" ht="15" hidden="false" customHeight="false" outlineLevel="0" collapsed="false">
      <c r="A16" s="18" t="n">
        <v>15</v>
      </c>
      <c r="B16" s="18" t="n">
        <f aca="false">ROUNDUP(A16/12,0)</f>
        <v>2</v>
      </c>
      <c r="C16" s="17" t="n">
        <f aca="false">Předpoklady!$B$4</f>
        <v>4000</v>
      </c>
      <c r="D16" s="19" t="n">
        <f aca="false">(F15+C16)*(1+Předpoklady!$B$12)</f>
        <v>62564.3633583897</v>
      </c>
      <c r="E16" s="13" t="n">
        <f aca="false">INDEX(Předpoklady!$C$18:$C$21,MATCH(D16,Předpoklady!$A$18:$A$21,1))</f>
        <v>0.006</v>
      </c>
      <c r="F16" s="19" t="n">
        <f aca="false">D16*(1-E16/12)</f>
        <v>62533.0811767105</v>
      </c>
      <c r="G16" s="19" t="n">
        <f aca="false">(G15+C16)*(1+Předpoklady!$B$12)*(1-Předpoklady!$B$9/12)</f>
        <v>62659.8589079807</v>
      </c>
      <c r="H16" s="19" t="n">
        <f aca="false">IF(AND(A16&gt;12,MOD(A16,12)=Předpoklady!$B$8),Předpoklady!$B$14,0)</f>
        <v>0</v>
      </c>
      <c r="I16" s="19" t="n">
        <f aca="false">I15+H16</f>
        <v>0</v>
      </c>
      <c r="J16" s="19" t="n">
        <f aca="false">J15*(1+Předpoklady!$B$12)*(1-Předpoklady!$B$9/12)+H16</f>
        <v>0</v>
      </c>
      <c r="K16" s="19" t="n">
        <f aca="false">K15+D16*E16/12</f>
        <v>247.257442690601</v>
      </c>
      <c r="L16" s="19" t="n">
        <f aca="false">L15+((G15+C16)+J15)*(1+Předpoklady!$B$12)*Předpoklady!$B$9/12</f>
        <v>123.775259012363</v>
      </c>
      <c r="M16" s="19" t="n">
        <f aca="false">(O15+C16)*(1+Předpoklady!$B$12)</f>
        <v>62527.3624315496</v>
      </c>
      <c r="N16" s="13" t="n">
        <f aca="false">INDEX(Předpoklady!$D$18:$D$21,MATCH(M16,Předpoklady!$A$18:$A$21,1))</f>
        <v>0.007</v>
      </c>
      <c r="O16" s="19" t="n">
        <f aca="false">M16*(1-N16/12)</f>
        <v>62490.8881367979</v>
      </c>
      <c r="P16" s="19" t="n">
        <f aca="false">P15+M16*N16/12</f>
        <v>288.353167291611</v>
      </c>
    </row>
    <row r="17" customFormat="false" ht="15" hidden="false" customHeight="false" outlineLevel="0" collapsed="false">
      <c r="A17" s="18" t="n">
        <v>16</v>
      </c>
      <c r="B17" s="18" t="n">
        <f aca="false">ROUNDUP(A17/12,0)</f>
        <v>2</v>
      </c>
      <c r="C17" s="17" t="n">
        <f aca="false">Předpoklady!$B$4</f>
        <v>4000</v>
      </c>
      <c r="D17" s="19" t="n">
        <f aca="false">(F16+C17)*(1+Předpoklady!$B$12)</f>
        <v>66909.2688907556</v>
      </c>
      <c r="E17" s="13" t="n">
        <f aca="false">INDEX(Předpoklady!$C$18:$C$21,MATCH(D17,Předpoklady!$A$18:$A$21,1))</f>
        <v>0.006</v>
      </c>
      <c r="F17" s="19" t="n">
        <f aca="false">D17*(1-E17/12)</f>
        <v>66875.8142563102</v>
      </c>
      <c r="G17" s="19" t="n">
        <f aca="false">(G16+C17)*(1+Předpoklady!$B$12)*(1-Předpoklady!$B$9/12)</f>
        <v>67020.0042508899</v>
      </c>
      <c r="H17" s="19" t="n">
        <f aca="false">IF(AND(A17&gt;12,MOD(A17,12)=Předpoklady!$B$8),Předpoklady!$B$14,0)</f>
        <v>7200</v>
      </c>
      <c r="I17" s="19" t="n">
        <f aca="false">I16+H17</f>
        <v>7200</v>
      </c>
      <c r="J17" s="19" t="n">
        <f aca="false">J16*(1+Předpoklady!$B$12)*(1-Předpoklady!$B$9/12)+H17</f>
        <v>7200</v>
      </c>
      <c r="K17" s="19" t="n">
        <f aca="false">K16+D17*E17/12</f>
        <v>280.712077135979</v>
      </c>
      <c r="L17" s="19" t="n">
        <f aca="false">L16+((G16+C17)+J16)*(1+Předpoklady!$B$12)*Předpoklady!$B$9/12</f>
        <v>140.534449872801</v>
      </c>
      <c r="M17" s="19" t="n">
        <f aca="false">(O16+C17)*(1+Předpoklady!$B$12)</f>
        <v>66866.8372852611</v>
      </c>
      <c r="N17" s="13" t="n">
        <f aca="false">INDEX(Předpoklady!$D$18:$D$21,MATCH(M17,Předpoklady!$A$18:$A$21,1))</f>
        <v>0.007</v>
      </c>
      <c r="O17" s="19" t="n">
        <f aca="false">M17*(1-N17/12)</f>
        <v>66827.831630178</v>
      </c>
      <c r="P17" s="19" t="n">
        <f aca="false">P16+M17*N17/12</f>
        <v>327.35882237468</v>
      </c>
    </row>
    <row r="18" customFormat="false" ht="15" hidden="false" customHeight="false" outlineLevel="0" collapsed="false">
      <c r="A18" s="18" t="n">
        <v>17</v>
      </c>
      <c r="B18" s="18" t="n">
        <f aca="false">ROUNDUP(A18/12,0)</f>
        <v>2</v>
      </c>
      <c r="C18" s="17" t="n">
        <f aca="false">Předpoklady!$B$4</f>
        <v>4000</v>
      </c>
      <c r="D18" s="19" t="n">
        <f aca="false">(F17+C18)*(1+Předpoklady!$B$12)</f>
        <v>71276.5564145662</v>
      </c>
      <c r="E18" s="13" t="n">
        <f aca="false">INDEX(Předpoklady!$C$18:$C$21,MATCH(D18,Předpoklady!$A$18:$A$21,1))</f>
        <v>0.006</v>
      </c>
      <c r="F18" s="19" t="n">
        <f aca="false">D18*(1-E18/12)</f>
        <v>71240.9181363589</v>
      </c>
      <c r="G18" s="19" t="n">
        <f aca="false">(G17+C18)*(1+Předpoklady!$B$12)*(1-Předpoklady!$B$9/12)</f>
        <v>71403.7062899185</v>
      </c>
      <c r="H18" s="19" t="n">
        <f aca="false">IF(AND(A18&gt;12,MOD(A18,12)=Předpoklady!$B$8),Předpoklady!$B$14,0)</f>
        <v>0</v>
      </c>
      <c r="I18" s="19" t="n">
        <f aca="false">I17+H18</f>
        <v>7200</v>
      </c>
      <c r="J18" s="19" t="n">
        <f aca="false">J17*(1+Předpoklady!$B$12)*(1-Předpoklady!$B$9/12)+H18</f>
        <v>7238.89966932762</v>
      </c>
      <c r="K18" s="19" t="n">
        <f aca="false">K17+D18*E18/12</f>
        <v>316.350355343262</v>
      </c>
      <c r="L18" s="19" t="n">
        <f aca="false">L17+((G17+C18)+J17)*(1+Předpoklady!$B$12)*Předpoklady!$B$9/12</f>
        <v>160.200017754583</v>
      </c>
      <c r="M18" s="19" t="n">
        <f aca="false">(O17+C18)*(1+Předpoklady!$B$12)</f>
        <v>71228.3024876897</v>
      </c>
      <c r="N18" s="13" t="n">
        <f aca="false">INDEX(Předpoklady!$D$18:$D$21,MATCH(M18,Předpoklady!$A$18:$A$21,1))</f>
        <v>0.007</v>
      </c>
      <c r="O18" s="19" t="n">
        <f aca="false">M18*(1-N18/12)</f>
        <v>71186.7526445718</v>
      </c>
      <c r="P18" s="19" t="n">
        <f aca="false">P17+M18*N18/12</f>
        <v>368.908665492499</v>
      </c>
    </row>
    <row r="19" customFormat="false" ht="15" hidden="false" customHeight="false" outlineLevel="0" collapsed="false">
      <c r="A19" s="18" t="n">
        <v>18</v>
      </c>
      <c r="B19" s="18" t="n">
        <f aca="false">ROUNDUP(A19/12,0)</f>
        <v>2</v>
      </c>
      <c r="C19" s="17" t="n">
        <f aca="false">Předpoklady!$B$4</f>
        <v>4000</v>
      </c>
      <c r="D19" s="19" t="n">
        <f aca="false">(F18+C19)*(1+Předpoklady!$B$12)</f>
        <v>75666.3412265837</v>
      </c>
      <c r="E19" s="13" t="n">
        <f aca="false">INDEX(Předpoklady!$C$18:$C$21,MATCH(D19,Předpoklady!$A$18:$A$21,1))</f>
        <v>0.006</v>
      </c>
      <c r="F19" s="19" t="n">
        <f aca="false">D19*(1-E19/12)</f>
        <v>75628.5080559704</v>
      </c>
      <c r="G19" s="19" t="n">
        <f aca="false">(G18+C19)*(1+Předpoklady!$B$12)*(1-Předpoklady!$B$9/12)</f>
        <v>75811.0922955789</v>
      </c>
      <c r="H19" s="19" t="n">
        <f aca="false">IF(AND(A19&gt;12,MOD(A19,12)=Předpoklady!$B$8),Předpoklady!$B$14,0)</f>
        <v>0</v>
      </c>
      <c r="I19" s="19" t="n">
        <f aca="false">I18+H19</f>
        <v>7200</v>
      </c>
      <c r="J19" s="19" t="n">
        <f aca="false">J18*(1+Předpoklady!$B$12)*(1-Předpoklady!$B$9/12)+H19</f>
        <v>7278.00950313771</v>
      </c>
      <c r="K19" s="19" t="n">
        <f aca="false">K18+D19*E19/12</f>
        <v>354.183525956554</v>
      </c>
      <c r="L19" s="19" t="n">
        <f aca="false">L18+((G18+C19)+J18)*(1+Předpoklady!$B$12)*Předpoklady!$B$9/12</f>
        <v>180.977487571716</v>
      </c>
      <c r="M19" s="19" t="n">
        <f aca="false">(O18+C19)*(1+Předpoklady!$B$12)</f>
        <v>75611.8694752311</v>
      </c>
      <c r="N19" s="13" t="n">
        <f aca="false">INDEX(Předpoklady!$D$18:$D$21,MATCH(M19,Předpoklady!$A$18:$A$21,1))</f>
        <v>0.007</v>
      </c>
      <c r="O19" s="19" t="n">
        <f aca="false">M19*(1-N19/12)</f>
        <v>75567.7625513706</v>
      </c>
      <c r="P19" s="19" t="n">
        <f aca="false">P18+M19*N19/12</f>
        <v>413.015589353051</v>
      </c>
    </row>
    <row r="20" customFormat="false" ht="15" hidden="false" customHeight="false" outlineLevel="0" collapsed="false">
      <c r="A20" s="18" t="n">
        <v>19</v>
      </c>
      <c r="B20" s="18" t="n">
        <f aca="false">ROUNDUP(A20/12,0)</f>
        <v>2</v>
      </c>
      <c r="C20" s="17" t="n">
        <f aca="false">Předpoklady!$B$4</f>
        <v>4000</v>
      </c>
      <c r="D20" s="19" t="n">
        <f aca="false">(F19+C20)*(1+Předpoklady!$B$12)</f>
        <v>80078.7392175011</v>
      </c>
      <c r="E20" s="13" t="n">
        <f aca="false">INDEX(Předpoklady!$C$18:$C$21,MATCH(D20,Předpoklady!$A$18:$A$21,1))</f>
        <v>0.006</v>
      </c>
      <c r="F20" s="19" t="n">
        <f aca="false">D20*(1-E20/12)</f>
        <v>80038.6998478923</v>
      </c>
      <c r="G20" s="19" t="n">
        <f aca="false">(G19+C20)*(1+Předpoklady!$B$12)*(1-Předpoklady!$B$9/12)</f>
        <v>80242.290225992</v>
      </c>
      <c r="H20" s="19" t="n">
        <f aca="false">IF(AND(A20&gt;12,MOD(A20,12)=Předpoklady!$B$8),Předpoklady!$B$14,0)</f>
        <v>0</v>
      </c>
      <c r="I20" s="19" t="n">
        <f aca="false">I19+H20</f>
        <v>7200</v>
      </c>
      <c r="J20" s="19" t="n">
        <f aca="false">J19*(1+Předpoklady!$B$12)*(1-Předpoklady!$B$9/12)+H20</f>
        <v>7317.33063689262</v>
      </c>
      <c r="K20" s="19" t="n">
        <f aca="false">K19+D20*E20/12</f>
        <v>394.222895565304</v>
      </c>
      <c r="L20" s="19" t="n">
        <f aca="false">L19+((G19+C20)+J19)*(1+Předpoklady!$B$12)*Předpoklady!$B$9/12</f>
        <v>202.872866632202</v>
      </c>
      <c r="M20" s="19" t="n">
        <f aca="false">(O19+C20)*(1+Předpoklady!$B$12)</f>
        <v>80017.6502489866</v>
      </c>
      <c r="N20" s="13" t="n">
        <f aca="false">INDEX(Předpoklady!$D$18:$D$21,MATCH(M20,Předpoklady!$A$18:$A$21,1))</f>
        <v>0.007</v>
      </c>
      <c r="O20" s="19" t="n">
        <f aca="false">M20*(1-N20/12)</f>
        <v>79970.9732863413</v>
      </c>
      <c r="P20" s="19" t="n">
        <f aca="false">P19+M20*N20/12</f>
        <v>459.692551998293</v>
      </c>
    </row>
    <row r="21" customFormat="false" ht="15" hidden="false" customHeight="false" outlineLevel="0" collapsed="false">
      <c r="A21" s="18" t="n">
        <v>20</v>
      </c>
      <c r="B21" s="18" t="n">
        <f aca="false">ROUNDUP(A21/12,0)</f>
        <v>2</v>
      </c>
      <c r="C21" s="17" t="n">
        <f aca="false">Předpoklady!$B$4</f>
        <v>4000</v>
      </c>
      <c r="D21" s="19" t="n">
        <f aca="false">(F20+C21)*(1+Předpoklady!$B$12)</f>
        <v>84513.8668750008</v>
      </c>
      <c r="E21" s="13" t="n">
        <f aca="false">INDEX(Předpoklady!$C$18:$C$21,MATCH(D21,Předpoklady!$A$18:$A$21,1))</f>
        <v>0.006</v>
      </c>
      <c r="F21" s="19" t="n">
        <f aca="false">D21*(1-E21/12)</f>
        <v>84471.6099415633</v>
      </c>
      <c r="G21" s="19" t="n">
        <f aca="false">(G20+C21)*(1+Předpoklady!$B$12)*(1-Předpoklady!$B$9/12)</f>
        <v>84697.4287306021</v>
      </c>
      <c r="H21" s="19" t="n">
        <f aca="false">IF(AND(A21&gt;12,MOD(A21,12)=Předpoklady!$B$8),Předpoklady!$B$14,0)</f>
        <v>0</v>
      </c>
      <c r="I21" s="19" t="n">
        <f aca="false">I20+H21</f>
        <v>7200</v>
      </c>
      <c r="J21" s="19" t="n">
        <f aca="false">J20*(1+Předpoklady!$B$12)*(1-Předpoklady!$B$9/12)+H21</f>
        <v>7356.86421218929</v>
      </c>
      <c r="K21" s="19" t="n">
        <f aca="false">K20+D21*E21/12</f>
        <v>436.479829002805</v>
      </c>
      <c r="L21" s="19" t="n">
        <f aca="false">L20+((G20+C21)+J20)*(1+Předpoklady!$B$12)*Předpoklady!$B$9/12</f>
        <v>225.892194699917</v>
      </c>
      <c r="M21" s="19" t="n">
        <f aca="false">(O20+C21)*(1+Předpoklady!$B$12)</f>
        <v>84445.7573776242</v>
      </c>
      <c r="N21" s="13" t="n">
        <f aca="false">INDEX(Předpoklady!$D$18:$D$21,MATCH(M21,Předpoklady!$A$18:$A$21,1))</f>
        <v>0.007</v>
      </c>
      <c r="O21" s="19" t="n">
        <f aca="false">M21*(1-N21/12)</f>
        <v>84396.4973524873</v>
      </c>
      <c r="P21" s="19" t="n">
        <f aca="false">P20+M21*N21/12</f>
        <v>508.95257713524</v>
      </c>
    </row>
    <row r="22" customFormat="false" ht="15" hidden="false" customHeight="false" outlineLevel="0" collapsed="false">
      <c r="A22" s="18" t="n">
        <v>21</v>
      </c>
      <c r="B22" s="18" t="n">
        <f aca="false">ROUNDUP(A22/12,0)</f>
        <v>2</v>
      </c>
      <c r="C22" s="17" t="n">
        <f aca="false">Předpoklady!$B$4</f>
        <v>4000</v>
      </c>
      <c r="D22" s="19" t="n">
        <f aca="false">(F21+C22)*(1+Předpoklady!$B$12)</f>
        <v>88971.8412868307</v>
      </c>
      <c r="E22" s="13" t="n">
        <f aca="false">INDEX(Předpoklady!$C$18:$C$21,MATCH(D22,Předpoklady!$A$18:$A$21,1))</f>
        <v>0.006</v>
      </c>
      <c r="F22" s="19" t="n">
        <f aca="false">D22*(1-E22/12)</f>
        <v>88927.3553661873</v>
      </c>
      <c r="G22" s="19" t="n">
        <f aca="false">(G21+C22)*(1+Předpoklady!$B$12)*(1-Předpoklady!$B$9/12)</f>
        <v>89176.6371539119</v>
      </c>
      <c r="H22" s="19" t="n">
        <f aca="false">IF(AND(A22&gt;12,MOD(A22,12)=Předpoklady!$B$8),Předpoklady!$B$14,0)</f>
        <v>0</v>
      </c>
      <c r="I22" s="19" t="n">
        <f aca="false">I21+H22</f>
        <v>7200</v>
      </c>
      <c r="J22" s="19" t="n">
        <f aca="false">J21*(1+Předpoklady!$B$12)*(1-Předpoklady!$B$9/12)+H22</f>
        <v>7396.6113767924</v>
      </c>
      <c r="K22" s="19" t="n">
        <f aca="false">K21+D22*E22/12</f>
        <v>480.96574964622</v>
      </c>
      <c r="L22" s="19" t="n">
        <f aca="false">L21+((G21+C22)+J21)*(1+Předpoklady!$B$12)*Předpoklady!$B$9/12</f>
        <v>250.041544169961</v>
      </c>
      <c r="M22" s="19" t="n">
        <f aca="false">(O21+C22)*(1+Předpoklady!$B$12)</f>
        <v>88896.3040002556</v>
      </c>
      <c r="N22" s="13" t="n">
        <f aca="false">INDEX(Předpoklady!$D$18:$D$21,MATCH(M22,Předpoklady!$A$18:$A$21,1))</f>
        <v>0.007</v>
      </c>
      <c r="O22" s="19" t="n">
        <f aca="false">M22*(1-N22/12)</f>
        <v>88844.4478229221</v>
      </c>
      <c r="P22" s="19" t="n">
        <f aca="false">P21+M22*N22/12</f>
        <v>560.808754468723</v>
      </c>
    </row>
    <row r="23" customFormat="false" ht="15" hidden="false" customHeight="false" outlineLevel="0" collapsed="false">
      <c r="A23" s="18" t="n">
        <v>22</v>
      </c>
      <c r="B23" s="18" t="n">
        <f aca="false">ROUNDUP(A23/12,0)</f>
        <v>2</v>
      </c>
      <c r="C23" s="17" t="n">
        <f aca="false">Předpoklady!$B$4</f>
        <v>4000</v>
      </c>
      <c r="D23" s="19" t="n">
        <f aca="false">(F22+C23)*(1+Předpoklady!$B$12)</f>
        <v>93452.7801438948</v>
      </c>
      <c r="E23" s="13" t="n">
        <f aca="false">INDEX(Předpoklady!$C$18:$C$21,MATCH(D23,Předpoklady!$A$18:$A$21,1))</f>
        <v>0.006</v>
      </c>
      <c r="F23" s="19" t="n">
        <f aca="false">D23*(1-E23/12)</f>
        <v>93406.0537538229</v>
      </c>
      <c r="G23" s="19" t="n">
        <f aca="false">(G22+C23)*(1+Předpoklady!$B$12)*(1-Předpoklady!$B$9/12)</f>
        <v>93680.0455392379</v>
      </c>
      <c r="H23" s="19" t="n">
        <f aca="false">IF(AND(A23&gt;12,MOD(A23,12)=Předpoklady!$B$8),Předpoklady!$B$14,0)</f>
        <v>0</v>
      </c>
      <c r="I23" s="19" t="n">
        <f aca="false">I22+H23</f>
        <v>7200</v>
      </c>
      <c r="J23" s="19" t="n">
        <f aca="false">J22*(1+Předpoklady!$B$12)*(1-Předpoklady!$B$9/12)+H23</f>
        <v>7436.57328466769</v>
      </c>
      <c r="K23" s="19" t="n">
        <f aca="false">K22+D23*E23/12</f>
        <v>527.692139718168</v>
      </c>
      <c r="L23" s="19" t="n">
        <f aca="false">L22+((G22+C23)+J22)*(1+Předpoklady!$B$12)*Předpoklady!$B$9/12</f>
        <v>275.327020244956</v>
      </c>
      <c r="M23" s="19" t="n">
        <f aca="false">(O22+C23)*(1+Předpoklady!$B$12)</f>
        <v>93369.4038293263</v>
      </c>
      <c r="N23" s="13" t="n">
        <f aca="false">INDEX(Předpoklady!$D$18:$D$21,MATCH(M23,Předpoklady!$A$18:$A$21,1))</f>
        <v>0.007</v>
      </c>
      <c r="O23" s="19" t="n">
        <f aca="false">M23*(1-N23/12)</f>
        <v>93314.9383437592</v>
      </c>
      <c r="P23" s="19" t="n">
        <f aca="false">P22+M23*N23/12</f>
        <v>615.27424003583</v>
      </c>
    </row>
    <row r="24" customFormat="false" ht="15" hidden="false" customHeight="false" outlineLevel="0" collapsed="false">
      <c r="A24" s="18" t="n">
        <v>23</v>
      </c>
      <c r="B24" s="18" t="n">
        <f aca="false">ROUNDUP(A24/12,0)</f>
        <v>2</v>
      </c>
      <c r="C24" s="17" t="n">
        <f aca="false">Předpoklady!$B$4</f>
        <v>4000</v>
      </c>
      <c r="D24" s="19" t="n">
        <f aca="false">(F23+C24)*(1+Předpoklady!$B$12)</f>
        <v>97956.8017433604</v>
      </c>
      <c r="E24" s="13" t="n">
        <f aca="false">INDEX(Předpoklady!$C$18:$C$21,MATCH(D24,Předpoklady!$A$18:$A$21,1))</f>
        <v>0.006</v>
      </c>
      <c r="F24" s="19" t="n">
        <f aca="false">D24*(1-E24/12)</f>
        <v>97907.8233424887</v>
      </c>
      <c r="G24" s="19" t="n">
        <f aca="false">(G23+C24)*(1+Předpoklady!$B$12)*(1-Předpoklady!$B$9/12)</f>
        <v>98207.7846324855</v>
      </c>
      <c r="H24" s="19" t="n">
        <f aca="false">IF(AND(A24&gt;12,MOD(A24,12)=Předpoklady!$B$8),Předpoklady!$B$14,0)</f>
        <v>0</v>
      </c>
      <c r="I24" s="19" t="n">
        <f aca="false">I23+H24</f>
        <v>7200</v>
      </c>
      <c r="J24" s="19" t="n">
        <f aca="false">J23*(1+Předpoklady!$B$12)*(1-Předpoklady!$B$9/12)+H24</f>
        <v>7476.7510960155</v>
      </c>
      <c r="K24" s="19" t="n">
        <f aca="false">K23+D24*E24/12</f>
        <v>576.670540589848</v>
      </c>
      <c r="L24" s="19" t="n">
        <f aca="false">L23+((G23+C24)+J23)*(1+Předpoklady!$B$12)*Předpoklady!$B$9/12</f>
        <v>301.754761112298</v>
      </c>
      <c r="M24" s="19" t="n">
        <f aca="false">(O23+C24)*(1+Předpoklady!$B$12)</f>
        <v>97865.1711535212</v>
      </c>
      <c r="N24" s="13" t="n">
        <f aca="false">INDEX(Předpoklady!$D$18:$D$21,MATCH(M24,Předpoklady!$A$18:$A$21,1))</f>
        <v>0.007</v>
      </c>
      <c r="O24" s="19" t="n">
        <f aca="false">M24*(1-N24/12)</f>
        <v>97808.0831370149</v>
      </c>
      <c r="P24" s="19" t="n">
        <f aca="false">P23+M24*N24/12</f>
        <v>672.36225654205</v>
      </c>
    </row>
    <row r="25" customFormat="false" ht="15" hidden="false" customHeight="false" outlineLevel="0" collapsed="false">
      <c r="A25" s="18" t="n">
        <v>24</v>
      </c>
      <c r="B25" s="18" t="n">
        <f aca="false">ROUNDUP(A25/12,0)</f>
        <v>2</v>
      </c>
      <c r="C25" s="17" t="n">
        <f aca="false">Předpoklady!$B$4</f>
        <v>4000</v>
      </c>
      <c r="D25" s="19" t="n">
        <f aca="false">(F24+C25)*(1+Předpoklady!$B$12)</f>
        <v>102484.024991781</v>
      </c>
      <c r="E25" s="13" t="n">
        <f aca="false">INDEX(Předpoklady!$C$18:$C$21,MATCH(D25,Předpoklady!$A$18:$A$21,1))</f>
        <v>0.006</v>
      </c>
      <c r="F25" s="19" t="n">
        <f aca="false">D25*(1-E25/12)</f>
        <v>102432.782979285</v>
      </c>
      <c r="G25" s="19" t="n">
        <f aca="false">(G24+C25)*(1+Předpoklady!$B$12)*(1-Předpoklady!$B$9/12)</f>
        <v>102759.985885946</v>
      </c>
      <c r="H25" s="19" t="n">
        <f aca="false">IF(AND(A25&gt;12,MOD(A25,12)=Předpoklady!$B$8),Předpoklady!$B$14,0)</f>
        <v>0</v>
      </c>
      <c r="I25" s="19" t="n">
        <f aca="false">I24+H25</f>
        <v>7200</v>
      </c>
      <c r="J25" s="19" t="n">
        <f aca="false">J24*(1+Předpoklady!$B$12)*(1-Předpoklady!$B$9/12)+H25</f>
        <v>7517.14597730438</v>
      </c>
      <c r="K25" s="19" t="n">
        <f aca="false">K24+D25*E25/12</f>
        <v>627.912553085738</v>
      </c>
      <c r="L25" s="19" t="n">
        <f aca="false">L24+((G24+C25)+J24)*(1+Předpoklady!$B$12)*Předpoklady!$B$9/12</f>
        <v>329.330938122363</v>
      </c>
      <c r="M25" s="19" t="n">
        <f aca="false">(O24+C25)*(1+Předpoklady!$B$12)</f>
        <v>102383.720840685</v>
      </c>
      <c r="N25" s="13" t="n">
        <f aca="false">INDEX(Předpoklady!$D$18:$D$21,MATCH(M25,Předpoklady!$A$18:$A$21,1))</f>
        <v>0.007</v>
      </c>
      <c r="O25" s="19" t="n">
        <f aca="false">M25*(1-N25/12)</f>
        <v>102323.997003528</v>
      </c>
      <c r="P25" s="19" t="n">
        <f aca="false">P24+M25*N25/12</f>
        <v>732.086093699116</v>
      </c>
    </row>
    <row r="26" customFormat="false" ht="15" hidden="false" customHeight="false" outlineLevel="0" collapsed="false">
      <c r="A26" s="18" t="n">
        <v>25</v>
      </c>
      <c r="B26" s="18" t="n">
        <f aca="false">ROUNDUP(A26/12,0)</f>
        <v>3</v>
      </c>
      <c r="C26" s="17" t="n">
        <f aca="false">Předpoklady!$B$4</f>
        <v>4000</v>
      </c>
      <c r="D26" s="19" t="n">
        <f aca="false">(F25+C26)*(1+Předpoklady!$B$12)</f>
        <v>107034.569408236</v>
      </c>
      <c r="E26" s="13" t="n">
        <f aca="false">INDEX(Předpoklady!$C$18:$C$21,MATCH(D26,Předpoklady!$A$18:$A$21,1))</f>
        <v>0.006</v>
      </c>
      <c r="F26" s="19" t="n">
        <f aca="false">D26*(1-E26/12)</f>
        <v>106981.052123532</v>
      </c>
      <c r="G26" s="19" t="n">
        <f aca="false">(G25+C26)*(1+Předpoklady!$B$12)*(1-Předpoklady!$B$9/12)</f>
        <v>107336.78146211</v>
      </c>
      <c r="H26" s="19" t="n">
        <f aca="false">IF(AND(A26&gt;12,MOD(A26,12)=Předpoklady!$B$8),Předpoklady!$B$14,0)</f>
        <v>0</v>
      </c>
      <c r="I26" s="19" t="n">
        <f aca="false">I25+H26</f>
        <v>7200</v>
      </c>
      <c r="J26" s="19" t="n">
        <f aca="false">J25*(1+Předpoklady!$B$12)*(1-Předpoklady!$B$9/12)+H26</f>
        <v>7557.75910130501</v>
      </c>
      <c r="K26" s="19" t="n">
        <f aca="false">K25+D26*E26/12</f>
        <v>681.429837789857</v>
      </c>
      <c r="L26" s="19" t="n">
        <f aca="false">L25+((G25+C26)+J25)*(1+Předpoklady!$B$12)*Předpoklady!$B$9/12</f>
        <v>358.061755967678</v>
      </c>
      <c r="M26" s="19" t="n">
        <f aca="false">(O25+C26)*(1+Předpoklady!$B$12)</f>
        <v>106925.168340756</v>
      </c>
      <c r="N26" s="13" t="n">
        <f aca="false">INDEX(Předpoklady!$D$18:$D$21,MATCH(M26,Předpoklady!$A$18:$A$21,1))</f>
        <v>0.007</v>
      </c>
      <c r="O26" s="19" t="n">
        <f aca="false">M26*(1-N26/12)</f>
        <v>106862.79532589</v>
      </c>
      <c r="P26" s="19" t="n">
        <f aca="false">P25+M26*N26/12</f>
        <v>794.459108564557</v>
      </c>
    </row>
    <row r="27" customFormat="false" ht="15" hidden="false" customHeight="false" outlineLevel="0" collapsed="false">
      <c r="A27" s="18" t="n">
        <v>26</v>
      </c>
      <c r="B27" s="18" t="n">
        <f aca="false">ROUNDUP(A27/12,0)</f>
        <v>3</v>
      </c>
      <c r="C27" s="17" t="n">
        <f aca="false">Předpoklady!$B$4</f>
        <v>4000</v>
      </c>
      <c r="D27" s="19" t="n">
        <f aca="false">(F26+C27)*(1+Předpoklady!$B$12)</f>
        <v>111608.555127486</v>
      </c>
      <c r="E27" s="13" t="n">
        <f aca="false">INDEX(Předpoklady!$C$18:$C$21,MATCH(D27,Předpoklady!$A$18:$A$21,1))</f>
        <v>0.006</v>
      </c>
      <c r="F27" s="19" t="n">
        <f aca="false">D27*(1-E27/12)</f>
        <v>111552.750849922</v>
      </c>
      <c r="G27" s="19" t="n">
        <f aca="false">(G26+C27)*(1+Předpoklady!$B$12)*(1-Předpoklady!$B$9/12)</f>
        <v>111938.30423751</v>
      </c>
      <c r="H27" s="19" t="n">
        <f aca="false">IF(AND(A27&gt;12,MOD(A27,12)=Předpoklady!$B$8),Předpoklady!$B$14,0)</f>
        <v>0</v>
      </c>
      <c r="I27" s="19" t="n">
        <f aca="false">I26+H27</f>
        <v>7200</v>
      </c>
      <c r="J27" s="19" t="n">
        <f aca="false">J26*(1+Předpoklady!$B$12)*(1-Předpoklady!$B$9/12)+H27</f>
        <v>7598.59164712426</v>
      </c>
      <c r="K27" s="19" t="n">
        <f aca="false">K26+D27*E27/12</f>
        <v>737.2341153536</v>
      </c>
      <c r="L27" s="19" t="n">
        <f aca="false">L26+((G26+C27)+J26)*(1+Předpoklady!$B$12)*Předpoklady!$B$9/12</f>
        <v>387.953452863061</v>
      </c>
      <c r="M27" s="19" t="n">
        <f aca="false">(O26+C27)*(1+Předpoklady!$B$12)</f>
        <v>111489.629688717</v>
      </c>
      <c r="N27" s="13" t="n">
        <f aca="false">INDEX(Předpoklady!$D$18:$D$21,MATCH(M27,Předpoklady!$A$18:$A$21,1))</f>
        <v>0.007</v>
      </c>
      <c r="O27" s="19" t="n">
        <f aca="false">M27*(1-N27/12)</f>
        <v>111424.594071398</v>
      </c>
      <c r="P27" s="19" t="n">
        <f aca="false">P26+M27*N27/12</f>
        <v>859.494725882975</v>
      </c>
    </row>
    <row r="28" customFormat="false" ht="15" hidden="false" customHeight="false" outlineLevel="0" collapsed="false">
      <c r="A28" s="18" t="n">
        <v>27</v>
      </c>
      <c r="B28" s="18" t="n">
        <f aca="false">ROUNDUP(A28/12,0)</f>
        <v>3</v>
      </c>
      <c r="C28" s="17" t="n">
        <f aca="false">Předpoklady!$B$4</f>
        <v>4000</v>
      </c>
      <c r="D28" s="19" t="n">
        <f aca="false">(F27+C28)*(1+Předpoklady!$B$12)</f>
        <v>116206.102903142</v>
      </c>
      <c r="E28" s="13" t="n">
        <f aca="false">INDEX(Předpoklady!$C$18:$C$21,MATCH(D28,Předpoklady!$A$18:$A$21,1))</f>
        <v>0.006</v>
      </c>
      <c r="F28" s="19" t="n">
        <f aca="false">D28*(1-E28/12)</f>
        <v>116147.999851691</v>
      </c>
      <c r="G28" s="19" t="n">
        <f aca="false">(G27+C28)*(1+Předpoklady!$B$12)*(1-Předpoklady!$B$9/12)</f>
        <v>116564.687806572</v>
      </c>
      <c r="H28" s="19" t="n">
        <f aca="false">IF(AND(A28&gt;12,MOD(A28,12)=Předpoklady!$B$8),Předpoklady!$B$14,0)</f>
        <v>0</v>
      </c>
      <c r="I28" s="19" t="n">
        <f aca="false">I27+H28</f>
        <v>7200</v>
      </c>
      <c r="J28" s="19" t="n">
        <f aca="false">J27*(1+Předpoklady!$B$12)*(1-Předpoklady!$B$9/12)+H28</f>
        <v>7639.64480023937</v>
      </c>
      <c r="K28" s="19" t="n">
        <f aca="false">K27+D28*E28/12</f>
        <v>795.337166805171</v>
      </c>
      <c r="L28" s="19" t="n">
        <f aca="false">L27+((G27+C28)+J27)*(1+Předpoklady!$B$12)*Předpoklady!$B$9/12</f>
        <v>419.012300726729</v>
      </c>
      <c r="M28" s="19" t="n">
        <f aca="false">(O27+C28)*(1+Předpoklady!$B$12)</f>
        <v>116077.22150756</v>
      </c>
      <c r="N28" s="13" t="n">
        <f aca="false">INDEX(Předpoklady!$D$18:$D$21,MATCH(M28,Předpoklady!$A$18:$A$21,1))</f>
        <v>0.007</v>
      </c>
      <c r="O28" s="19" t="n">
        <f aca="false">M28*(1-N28/12)</f>
        <v>116009.509795014</v>
      </c>
      <c r="P28" s="19" t="n">
        <f aca="false">P27+M28*N28/12</f>
        <v>927.206438429052</v>
      </c>
    </row>
    <row r="29" customFormat="false" ht="15" hidden="false" customHeight="false" outlineLevel="0" collapsed="false">
      <c r="A29" s="18" t="n">
        <v>28</v>
      </c>
      <c r="B29" s="18" t="n">
        <f aca="false">ROUNDUP(A29/12,0)</f>
        <v>3</v>
      </c>
      <c r="C29" s="17" t="n">
        <f aca="false">Předpoklady!$B$4</f>
        <v>4000</v>
      </c>
      <c r="D29" s="19" t="n">
        <f aca="false">(F28+C29)*(1+Předpoklady!$B$12)</f>
        <v>120827.334110858</v>
      </c>
      <c r="E29" s="13" t="n">
        <f aca="false">INDEX(Předpoklady!$C$18:$C$21,MATCH(D29,Předpoklady!$A$18:$A$21,1))</f>
        <v>0.006</v>
      </c>
      <c r="F29" s="19" t="n">
        <f aca="false">D29*(1-E29/12)</f>
        <v>120766.920443803</v>
      </c>
      <c r="G29" s="19" t="n">
        <f aca="false">(G28+C29)*(1+Předpoklady!$B$12)*(1-Předpoklady!$B$9/12)</f>
        <v>121216.066485497</v>
      </c>
      <c r="H29" s="19" t="n">
        <f aca="false">IF(AND(A29&gt;12,MOD(A29,12)=Předpoklady!$B$8),Předpoklady!$B$14,0)</f>
        <v>7200</v>
      </c>
      <c r="I29" s="19" t="n">
        <f aca="false">I28+H29</f>
        <v>14400</v>
      </c>
      <c r="J29" s="19" t="n">
        <f aca="false">J28*(1+Předpoklady!$B$12)*(1-Předpoklady!$B$9/12)+H29</f>
        <v>14880.9197525324</v>
      </c>
      <c r="K29" s="19" t="n">
        <f aca="false">K28+D29*E29/12</f>
        <v>855.7508338606</v>
      </c>
      <c r="L29" s="19" t="n">
        <f aca="false">L28+((G28+C29)+J28)*(1+Předpoklady!$B$12)*Předpoklady!$B$9/12</f>
        <v>451.244605362395</v>
      </c>
      <c r="M29" s="19" t="n">
        <f aca="false">(O28+C29)*(1+Předpoklady!$B$12)</f>
        <v>120688.061011267</v>
      </c>
      <c r="N29" s="13" t="n">
        <f aca="false">INDEX(Předpoklady!$D$18:$D$21,MATCH(M29,Předpoklady!$A$18:$A$21,1))</f>
        <v>0.007</v>
      </c>
      <c r="O29" s="19" t="n">
        <f aca="false">M29*(1-N29/12)</f>
        <v>120617.659642343</v>
      </c>
      <c r="P29" s="19" t="n">
        <f aca="false">P28+M29*N29/12</f>
        <v>997.607807352291</v>
      </c>
    </row>
    <row r="30" customFormat="false" ht="15" hidden="false" customHeight="false" outlineLevel="0" collapsed="false">
      <c r="A30" s="18" t="n">
        <v>29</v>
      </c>
      <c r="B30" s="18" t="n">
        <f aca="false">ROUNDUP(A30/12,0)</f>
        <v>3</v>
      </c>
      <c r="C30" s="17" t="n">
        <f aca="false">Předpoklady!$B$4</f>
        <v>4000</v>
      </c>
      <c r="D30" s="19" t="n">
        <f aca="false">(F29+C30)*(1+Předpoklady!$B$12)</f>
        <v>125472.370751531</v>
      </c>
      <c r="E30" s="13" t="n">
        <f aca="false">INDEX(Předpoklady!$C$18:$C$21,MATCH(D30,Předpoklady!$A$18:$A$21,1))</f>
        <v>0.006</v>
      </c>
      <c r="F30" s="19" t="n">
        <f aca="false">D30*(1-E30/12)</f>
        <v>125409.634566155</v>
      </c>
      <c r="G30" s="19" t="n">
        <f aca="false">(G29+C30)*(1+Předpoklady!$B$12)*(1-Předpoklady!$B$9/12)</f>
        <v>125892.575316162</v>
      </c>
      <c r="H30" s="19" t="n">
        <f aca="false">IF(AND(A30&gt;12,MOD(A30,12)=Předpoklady!$B$8),Předpoklady!$B$14,0)</f>
        <v>0</v>
      </c>
      <c r="I30" s="19" t="n">
        <f aca="false">I29+H30</f>
        <v>14400</v>
      </c>
      <c r="J30" s="19" t="n">
        <f aca="false">J29*(1+Předpoklady!$B$12)*(1-Předpoklady!$B$9/12)+H30</f>
        <v>14961.3173716524</v>
      </c>
      <c r="K30" s="19" t="n">
        <f aca="false">K29+D30*E30/12</f>
        <v>918.487019236365</v>
      </c>
      <c r="L30" s="19" t="n">
        <f aca="false">L29+((G29+C30)+J29)*(1+Předpoklady!$B$12)*Předpoklady!$B$9/12</f>
        <v>486.466884104035</v>
      </c>
      <c r="M30" s="19" t="n">
        <f aca="false">(O29+C30)*(1+Předpoklady!$B$12)</f>
        <v>125322.266007799</v>
      </c>
      <c r="N30" s="13" t="n">
        <f aca="false">INDEX(Předpoklady!$D$18:$D$21,MATCH(M30,Předpoklady!$A$18:$A$21,1))</f>
        <v>0.007</v>
      </c>
      <c r="O30" s="19" t="n">
        <f aca="false">M30*(1-N30/12)</f>
        <v>125249.161352628</v>
      </c>
      <c r="P30" s="19" t="n">
        <f aca="false">P29+M30*N30/12</f>
        <v>1070.71246252351</v>
      </c>
    </row>
    <row r="31" customFormat="false" ht="15" hidden="false" customHeight="false" outlineLevel="0" collapsed="false">
      <c r="A31" s="18" t="n">
        <v>30</v>
      </c>
      <c r="B31" s="18" t="n">
        <f aca="false">ROUNDUP(A31/12,0)</f>
        <v>3</v>
      </c>
      <c r="C31" s="17" t="n">
        <f aca="false">Předpoklady!$B$4</f>
        <v>4000</v>
      </c>
      <c r="D31" s="19" t="n">
        <f aca="false">(F30+C31)*(1+Předpoklady!$B$12)</f>
        <v>130141.335454523</v>
      </c>
      <c r="E31" s="13" t="n">
        <f aca="false">INDEX(Předpoklady!$C$18:$C$21,MATCH(D31,Předpoklady!$A$18:$A$21,1))</f>
        <v>0.006</v>
      </c>
      <c r="F31" s="19" t="n">
        <f aca="false">D31*(1-E31/12)</f>
        <v>130076.264786796</v>
      </c>
      <c r="G31" s="19" t="n">
        <f aca="false">(G30+C31)*(1+Předpoklady!$B$12)*(1-Předpoklady!$B$9/12)</f>
        <v>130594.350070039</v>
      </c>
      <c r="H31" s="19" t="n">
        <f aca="false">IF(AND(A31&gt;12,MOD(A31,12)=Předpoklady!$B$8),Předpoklady!$B$14,0)</f>
        <v>0</v>
      </c>
      <c r="I31" s="19" t="n">
        <f aca="false">I30+H31</f>
        <v>14400</v>
      </c>
      <c r="J31" s="19" t="n">
        <f aca="false">J30*(1+Předpoklady!$B$12)*(1-Předpoklady!$B$9/12)+H31</f>
        <v>15042.1493575501</v>
      </c>
      <c r="K31" s="19" t="n">
        <f aca="false">K30+D31*E31/12</f>
        <v>983.557686963627</v>
      </c>
      <c r="L31" s="19" t="n">
        <f aca="false">L30+((G30+C31)+J30)*(1+Předpoklady!$B$12)*Předpoklady!$B$9/12</f>
        <v>522.885113518285</v>
      </c>
      <c r="M31" s="19" t="n">
        <f aca="false">(O30+C31)*(1+Předpoklady!$B$12)</f>
        <v>129979.954902116</v>
      </c>
      <c r="N31" s="13" t="n">
        <f aca="false">INDEX(Předpoklady!$D$18:$D$21,MATCH(M31,Předpoklady!$A$18:$A$21,1))</f>
        <v>0.007</v>
      </c>
      <c r="O31" s="19" t="n">
        <f aca="false">M31*(1-N31/12)</f>
        <v>129904.133261756</v>
      </c>
      <c r="P31" s="19" t="n">
        <f aca="false">P30+M31*N31/12</f>
        <v>1146.53410288308</v>
      </c>
    </row>
    <row r="32" customFormat="false" ht="15" hidden="false" customHeight="false" outlineLevel="0" collapsed="false">
      <c r="A32" s="18" t="n">
        <v>31</v>
      </c>
      <c r="B32" s="18" t="n">
        <f aca="false">ROUNDUP(A32/12,0)</f>
        <v>3</v>
      </c>
      <c r="C32" s="17" t="n">
        <f aca="false">Předpoklady!$B$4</f>
        <v>4000</v>
      </c>
      <c r="D32" s="19" t="n">
        <f aca="false">(F31+C32)*(1+Předpoklady!$B$12)</f>
        <v>134834.351480901</v>
      </c>
      <c r="E32" s="13" t="n">
        <f aca="false">INDEX(Předpoklady!$C$18:$C$21,MATCH(D32,Předpoklady!$A$18:$A$21,1))</f>
        <v>0.006</v>
      </c>
      <c r="F32" s="19" t="n">
        <f aca="false">D32*(1-E32/12)</f>
        <v>134766.93430516</v>
      </c>
      <c r="G32" s="19" t="n">
        <f aca="false">(G31+C32)*(1+Předpoklady!$B$12)*(1-Předpoklady!$B$9/12)</f>
        <v>135321.527252135</v>
      </c>
      <c r="H32" s="19" t="n">
        <f aca="false">IF(AND(A32&gt;12,MOD(A32,12)=Předpoklady!$B$8),Předpoklady!$B$14,0)</f>
        <v>0</v>
      </c>
      <c r="I32" s="19" t="n">
        <f aca="false">I31+H32</f>
        <v>14400</v>
      </c>
      <c r="J32" s="19" t="n">
        <f aca="false">J31*(1+Předpoklady!$B$12)*(1-Předpoklady!$B$9/12)+H32</f>
        <v>15123.4180569925</v>
      </c>
      <c r="K32" s="19" t="n">
        <f aca="false">K31+D32*E32/12</f>
        <v>1050.97486270408</v>
      </c>
      <c r="L32" s="19" t="n">
        <f aca="false">L31+((G31+C32)+J31)*(1+Předpoklady!$B$12)*Předpoklady!$B$9/12</f>
        <v>560.505755005939</v>
      </c>
      <c r="M32" s="19" t="n">
        <f aca="false">(O31+C32)*(1+Předpoklady!$B$12)</f>
        <v>134661.246699193</v>
      </c>
      <c r="N32" s="13" t="n">
        <f aca="false">INDEX(Předpoklady!$D$18:$D$21,MATCH(M32,Předpoklady!$A$18:$A$21,1))</f>
        <v>0.007</v>
      </c>
      <c r="O32" s="19" t="n">
        <f aca="false">M32*(1-N32/12)</f>
        <v>134582.694305285</v>
      </c>
      <c r="P32" s="19" t="n">
        <f aca="false">P31+M32*N32/12</f>
        <v>1225.08649679094</v>
      </c>
    </row>
    <row r="33" customFormat="false" ht="15" hidden="false" customHeight="false" outlineLevel="0" collapsed="false">
      <c r="A33" s="18" t="n">
        <v>32</v>
      </c>
      <c r="B33" s="18" t="n">
        <f aca="false">ROUNDUP(A33/12,0)</f>
        <v>3</v>
      </c>
      <c r="C33" s="17" t="n">
        <f aca="false">Předpoklady!$B$4</f>
        <v>4000</v>
      </c>
      <c r="D33" s="19" t="n">
        <f aca="false">(F32+C33)*(1+Předpoklady!$B$12)</f>
        <v>139551.542726686</v>
      </c>
      <c r="E33" s="13" t="n">
        <f aca="false">INDEX(Předpoklady!$C$18:$C$21,MATCH(D33,Předpoklady!$A$18:$A$21,1))</f>
        <v>0.006</v>
      </c>
      <c r="F33" s="19" t="n">
        <f aca="false">D33*(1-E33/12)</f>
        <v>139481.766955323</v>
      </c>
      <c r="G33" s="19" t="n">
        <f aca="false">(G32+C33)*(1+Předpoklady!$B$12)*(1-Předpoklady!$B$9/12)</f>
        <v>140074.244104958</v>
      </c>
      <c r="H33" s="19" t="n">
        <f aca="false">IF(AND(A33&gt;12,MOD(A33,12)=Předpoklady!$B$8),Předpoklady!$B$14,0)</f>
        <v>0</v>
      </c>
      <c r="I33" s="19" t="n">
        <f aca="false">I32+H33</f>
        <v>14400</v>
      </c>
      <c r="J33" s="19" t="n">
        <f aca="false">J32*(1+Předpoklady!$B$12)*(1-Předpoklady!$B$9/12)+H33</f>
        <v>15205.1258294259</v>
      </c>
      <c r="K33" s="19" t="n">
        <f aca="false">K32+D33*E33/12</f>
        <v>1120.75063406742</v>
      </c>
      <c r="L33" s="19" t="n">
        <f aca="false">L32+((G32+C33)+J32)*(1+Předpoklady!$B$12)*Předpoklady!$B$9/12</f>
        <v>599.335304877003</v>
      </c>
      <c r="M33" s="19" t="n">
        <f aca="false">(O32+C33)*(1+Předpoklady!$B$12)</f>
        <v>139366.261007066</v>
      </c>
      <c r="N33" s="13" t="n">
        <f aca="false">INDEX(Předpoklady!$D$18:$D$21,MATCH(M33,Předpoklady!$A$18:$A$21,1))</f>
        <v>0.007</v>
      </c>
      <c r="O33" s="19" t="n">
        <f aca="false">M33*(1-N33/12)</f>
        <v>139284.964021478</v>
      </c>
      <c r="P33" s="19" t="n">
        <f aca="false">P32+M33*N33/12</f>
        <v>1306.38348237839</v>
      </c>
    </row>
    <row r="34" customFormat="false" ht="15" hidden="false" customHeight="false" outlineLevel="0" collapsed="false">
      <c r="A34" s="18" t="n">
        <v>33</v>
      </c>
      <c r="B34" s="18" t="n">
        <f aca="false">ROUNDUP(A34/12,0)</f>
        <v>3</v>
      </c>
      <c r="C34" s="17" t="n">
        <f aca="false">Předpoklady!$B$4</f>
        <v>4000</v>
      </c>
      <c r="D34" s="19" t="n">
        <f aca="false">(F33+C34)*(1+Předpoklady!$B$12)</f>
        <v>144293.03372613</v>
      </c>
      <c r="E34" s="13" t="n">
        <f aca="false">INDEX(Předpoklady!$C$18:$C$21,MATCH(D34,Předpoklady!$A$18:$A$21,1))</f>
        <v>0.006</v>
      </c>
      <c r="F34" s="19" t="n">
        <f aca="false">D34*(1-E34/12)</f>
        <v>144220.887209267</v>
      </c>
      <c r="G34" s="19" t="n">
        <f aca="false">(G33+C34)*(1+Předpoklady!$B$12)*(1-Předpoklady!$B$9/12)</f>
        <v>144852.638612501</v>
      </c>
      <c r="H34" s="19" t="n">
        <f aca="false">IF(AND(A34&gt;12,MOD(A34,12)=Předpoklady!$B$8),Předpoklady!$B$14,0)</f>
        <v>0</v>
      </c>
      <c r="I34" s="19" t="n">
        <f aca="false">I33+H34</f>
        <v>14400</v>
      </c>
      <c r="J34" s="19" t="n">
        <f aca="false">J33*(1+Předpoklady!$B$12)*(1-Předpoklady!$B$9/12)+H34</f>
        <v>15287.2750470439</v>
      </c>
      <c r="K34" s="19" t="n">
        <f aca="false">K33+D34*E34/12</f>
        <v>1192.89715093048</v>
      </c>
      <c r="L34" s="19" t="n">
        <f aca="false">L33+((G33+C34)+J33)*(1+Předpoklady!$B$12)*Předpoklady!$B$9/12</f>
        <v>639.380294539305</v>
      </c>
      <c r="M34" s="19" t="n">
        <f aca="false">(O33+C34)*(1+Předpoklady!$B$12)</f>
        <v>144095.118039885</v>
      </c>
      <c r="N34" s="13" t="n">
        <f aca="false">INDEX(Předpoklady!$D$18:$D$21,MATCH(M34,Předpoklady!$A$18:$A$21,1))</f>
        <v>0.007</v>
      </c>
      <c r="O34" s="19" t="n">
        <f aca="false">M34*(1-N34/12)</f>
        <v>144011.062554361</v>
      </c>
      <c r="P34" s="19" t="n">
        <f aca="false">P33+M34*N34/12</f>
        <v>1390.43896790166</v>
      </c>
    </row>
    <row r="35" customFormat="false" ht="15" hidden="false" customHeight="false" outlineLevel="0" collapsed="false">
      <c r="A35" s="18" t="n">
        <v>34</v>
      </c>
      <c r="B35" s="18" t="n">
        <f aca="false">ROUNDUP(A35/12,0)</f>
        <v>3</v>
      </c>
      <c r="C35" s="17" t="n">
        <f aca="false">Předpoklady!$B$4</f>
        <v>4000</v>
      </c>
      <c r="D35" s="19" t="n">
        <f aca="false">(F34+C35)*(1+Předpoklady!$B$12)</f>
        <v>149058.949654998</v>
      </c>
      <c r="E35" s="13" t="n">
        <f aca="false">INDEX(Předpoklady!$C$18:$C$21,MATCH(D35,Předpoklady!$A$18:$A$21,1))</f>
        <v>0.006</v>
      </c>
      <c r="F35" s="19" t="n">
        <f aca="false">D35*(1-E35/12)</f>
        <v>148984.420180171</v>
      </c>
      <c r="G35" s="19" t="n">
        <f aca="false">(G34+C35)*(1+Předpoklady!$B$12)*(1-Předpoklady!$B$9/12)</f>
        <v>149656.849504247</v>
      </c>
      <c r="H35" s="19" t="n">
        <f aca="false">IF(AND(A35&gt;12,MOD(A35,12)=Předpoklady!$B$8),Předpoklady!$B$14,0)</f>
        <v>0</v>
      </c>
      <c r="I35" s="19" t="n">
        <f aca="false">I34+H35</f>
        <v>14400</v>
      </c>
      <c r="J35" s="19" t="n">
        <f aca="false">J34*(1+Předpoklady!$B$12)*(1-Předpoklady!$B$9/12)+H35</f>
        <v>15369.8680948564</v>
      </c>
      <c r="K35" s="19" t="n">
        <f aca="false">K34+D35*E35/12</f>
        <v>1267.42662575798</v>
      </c>
      <c r="L35" s="19" t="n">
        <f aca="false">L34+((G34+C35)+J34)*(1+Předpoklady!$B$12)*Předpoklady!$B$9/12</f>
        <v>680.647290688118</v>
      </c>
      <c r="M35" s="19" t="n">
        <f aca="false">(O34+C35)*(1+Předpoklady!$B$12)</f>
        <v>148847.938620988</v>
      </c>
      <c r="N35" s="13" t="n">
        <f aca="false">INDEX(Předpoklady!$D$18:$D$21,MATCH(M35,Předpoklady!$A$18:$A$21,1))</f>
        <v>0.007</v>
      </c>
      <c r="O35" s="19" t="n">
        <f aca="false">M35*(1-N35/12)</f>
        <v>148761.110656792</v>
      </c>
      <c r="P35" s="19" t="n">
        <f aca="false">P34+M35*N35/12</f>
        <v>1477.26693209724</v>
      </c>
    </row>
    <row r="36" customFormat="false" ht="15" hidden="false" customHeight="false" outlineLevel="0" collapsed="false">
      <c r="A36" s="18" t="n">
        <v>35</v>
      </c>
      <c r="B36" s="18" t="n">
        <f aca="false">ROUNDUP(A36/12,0)</f>
        <v>3</v>
      </c>
      <c r="C36" s="17" t="n">
        <f aca="false">Předpoklady!$B$4</f>
        <v>4000</v>
      </c>
      <c r="D36" s="19" t="n">
        <f aca="false">(F35+C36)*(1+Předpoklady!$B$12)</f>
        <v>153849.416333877</v>
      </c>
      <c r="E36" s="13" t="n">
        <f aca="false">INDEX(Předpoklady!$C$18:$C$21,MATCH(D36,Předpoklady!$A$18:$A$21,1))</f>
        <v>0.006</v>
      </c>
      <c r="F36" s="19" t="n">
        <f aca="false">D36*(1-E36/12)</f>
        <v>153772.49162571</v>
      </c>
      <c r="G36" s="19" t="n">
        <f aca="false">(G35+C36)*(1+Předpoklady!$B$12)*(1-Předpoklady!$B$9/12)</f>
        <v>154487.016259197</v>
      </c>
      <c r="H36" s="19" t="n">
        <f aca="false">IF(AND(A36&gt;12,MOD(A36,12)=Předpoklady!$B$8),Předpoklady!$B$14,0)</f>
        <v>0</v>
      </c>
      <c r="I36" s="19" t="n">
        <f aca="false">I35+H36</f>
        <v>14400</v>
      </c>
      <c r="J36" s="19" t="n">
        <f aca="false">J35*(1+Předpoklady!$B$12)*(1-Předpoklady!$B$9/12)+H36</f>
        <v>15452.9073707591</v>
      </c>
      <c r="K36" s="19" t="n">
        <f aca="false">K35+D36*E36/12</f>
        <v>1344.35133392492</v>
      </c>
      <c r="L36" s="19" t="n">
        <f aca="false">L35+((G35+C36)+J35)*(1+Předpoklady!$B$12)*Předpoklady!$B$9/12</f>
        <v>723.142895496809</v>
      </c>
      <c r="M36" s="19" t="n">
        <f aca="false">(O35+C36)*(1+Předpoklady!$B$12)</f>
        <v>153624.844185988</v>
      </c>
      <c r="N36" s="13" t="n">
        <f aca="false">INDEX(Předpoklady!$D$18:$D$21,MATCH(M36,Předpoklady!$A$18:$A$21,1))</f>
        <v>0.007</v>
      </c>
      <c r="O36" s="19" t="n">
        <f aca="false">M36*(1-N36/12)</f>
        <v>153535.229693546</v>
      </c>
      <c r="P36" s="19" t="n">
        <f aca="false">P35+M36*N36/12</f>
        <v>1566.88142453906</v>
      </c>
    </row>
    <row r="37" customFormat="false" ht="15" hidden="false" customHeight="false" outlineLevel="0" collapsed="false">
      <c r="A37" s="18" t="n">
        <v>36</v>
      </c>
      <c r="B37" s="18" t="n">
        <f aca="false">ROUNDUP(A37/12,0)</f>
        <v>3</v>
      </c>
      <c r="C37" s="17" t="n">
        <f aca="false">Předpoklady!$B$4</f>
        <v>4000</v>
      </c>
      <c r="D37" s="19" t="n">
        <f aca="false">(F36+C37)*(1+Předpoklady!$B$12)</f>
        <v>158664.560231495</v>
      </c>
      <c r="E37" s="13" t="n">
        <f aca="false">INDEX(Předpoklady!$C$18:$C$21,MATCH(D37,Předpoklady!$A$18:$A$21,1))</f>
        <v>0.006</v>
      </c>
      <c r="F37" s="19" t="n">
        <f aca="false">D37*(1-E37/12)</f>
        <v>158585.22795138</v>
      </c>
      <c r="G37" s="19" t="n">
        <f aca="false">(G36+C37)*(1+Předpoklady!$B$12)*(1-Předpoklady!$B$9/12)</f>
        <v>159343.27910992</v>
      </c>
      <c r="H37" s="19" t="n">
        <f aca="false">IF(AND(A37&gt;12,MOD(A37,12)=Předpoklady!$B$8),Předpoklady!$B$14,0)</f>
        <v>0</v>
      </c>
      <c r="I37" s="19" t="n">
        <f aca="false">I36+H37</f>
        <v>14400</v>
      </c>
      <c r="J37" s="19" t="n">
        <f aca="false">J36*(1+Předpoklady!$B$12)*(1-Předpoklady!$B$9/12)+H37</f>
        <v>15536.3952856025</v>
      </c>
      <c r="K37" s="19" t="n">
        <f aca="false">K36+D37*E37/12</f>
        <v>1423.68361404067</v>
      </c>
      <c r="L37" s="19" t="n">
        <f aca="false">L36+((G36+C37)+J36)*(1+Předpoklady!$B$12)*Předpoklady!$B$9/12</f>
        <v>766.873746808518</v>
      </c>
      <c r="M37" s="19" t="n">
        <f aca="false">(O36+C37)*(1+Předpoklady!$B$12)</f>
        <v>158425.956785871</v>
      </c>
      <c r="N37" s="13" t="n">
        <f aca="false">INDEX(Předpoklady!$D$18:$D$21,MATCH(M37,Předpoklady!$A$18:$A$21,1))</f>
        <v>0.007</v>
      </c>
      <c r="O37" s="19" t="n">
        <f aca="false">M37*(1-N37/12)</f>
        <v>158333.541644413</v>
      </c>
      <c r="P37" s="19" t="n">
        <f aca="false">P36+M37*N37/12</f>
        <v>1659.29656599749</v>
      </c>
    </row>
    <row r="38" customFormat="false" ht="15" hidden="false" customHeight="false" outlineLevel="0" collapsed="false">
      <c r="A38" s="18" t="n">
        <v>37</v>
      </c>
      <c r="B38" s="18" t="n">
        <f aca="false">ROUNDUP(A38/12,0)</f>
        <v>4</v>
      </c>
      <c r="C38" s="17" t="n">
        <f aca="false">Předpoklady!$B$4</f>
        <v>4000</v>
      </c>
      <c r="D38" s="19" t="n">
        <f aca="false">(F37+C38)*(1+Předpoklady!$B$12)</f>
        <v>163504.508468061</v>
      </c>
      <c r="E38" s="13" t="n">
        <f aca="false">INDEX(Předpoklady!$C$18:$C$21,MATCH(D38,Předpoklady!$A$18:$A$21,1))</f>
        <v>0.006</v>
      </c>
      <c r="F38" s="19" t="n">
        <f aca="false">D38*(1-E38/12)</f>
        <v>163422.756213827</v>
      </c>
      <c r="G38" s="19" t="n">
        <f aca="false">(G37+C38)*(1+Předpoklady!$B$12)*(1-Předpoklady!$B$9/12)</f>
        <v>164225.779046623</v>
      </c>
      <c r="H38" s="19" t="n">
        <f aca="false">IF(AND(A38&gt;12,MOD(A38,12)=Předpoklady!$B$8),Předpoklady!$B$14,0)</f>
        <v>0</v>
      </c>
      <c r="I38" s="19" t="n">
        <f aca="false">I37+H38</f>
        <v>14400</v>
      </c>
      <c r="J38" s="19" t="n">
        <f aca="false">J37*(1+Předpoklady!$B$12)*(1-Předpoklady!$B$9/12)+H38</f>
        <v>15620.3342632627</v>
      </c>
      <c r="K38" s="19" t="n">
        <f aca="false">K37+D38*E38/12</f>
        <v>1505.4358682747</v>
      </c>
      <c r="L38" s="19" t="n">
        <f aca="false">L37+((G37+C38)+J37)*(1+Předpoklady!$B$12)*Předpoklady!$B$9/12</f>
        <v>811.846518328869</v>
      </c>
      <c r="M38" s="19" t="n">
        <f aca="false">(O37+C38)*(1+Předpoklady!$B$12)</f>
        <v>163251.399090123</v>
      </c>
      <c r="N38" s="13" t="n">
        <f aca="false">INDEX(Předpoklady!$D$18:$D$21,MATCH(M38,Předpoklady!$A$18:$A$21,1))</f>
        <v>0.007</v>
      </c>
      <c r="O38" s="19" t="n">
        <f aca="false">M38*(1-N38/12)</f>
        <v>163156.16910732</v>
      </c>
      <c r="P38" s="19" t="n">
        <f aca="false">P37+M38*N38/12</f>
        <v>1754.52654880006</v>
      </c>
    </row>
    <row r="39" customFormat="false" ht="15" hidden="false" customHeight="false" outlineLevel="0" collapsed="false">
      <c r="A39" s="18" t="n">
        <v>38</v>
      </c>
      <c r="B39" s="18" t="n">
        <f aca="false">ROUNDUP(A39/12,0)</f>
        <v>4</v>
      </c>
      <c r="C39" s="17" t="n">
        <f aca="false">Předpoklady!$B$4</f>
        <v>4000</v>
      </c>
      <c r="D39" s="19" t="n">
        <f aca="false">(F38+C39)*(1+Předpoklady!$B$12)</f>
        <v>168369.38881862</v>
      </c>
      <c r="E39" s="13" t="n">
        <f aca="false">INDEX(Předpoklady!$C$18:$C$21,MATCH(D39,Předpoklady!$A$18:$A$21,1))</f>
        <v>0.006</v>
      </c>
      <c r="F39" s="19" t="n">
        <f aca="false">D39*(1-E39/12)</f>
        <v>168285.204124211</v>
      </c>
      <c r="G39" s="19" t="n">
        <f aca="false">(G38+C39)*(1+Předpoklady!$B$12)*(1-Předpoklady!$B$9/12)</f>
        <v>169134.657821248</v>
      </c>
      <c r="H39" s="19" t="n">
        <f aca="false">IF(AND(A39&gt;12,MOD(A39,12)=Předpoklady!$B$8),Předpoklady!$B$14,0)</f>
        <v>0</v>
      </c>
      <c r="I39" s="19" t="n">
        <f aca="false">I38+H39</f>
        <v>14400</v>
      </c>
      <c r="J39" s="19" t="n">
        <f aca="false">J38*(1+Předpoklady!$B$12)*(1-Předpoklady!$B$9/12)+H39</f>
        <v>15704.726740711</v>
      </c>
      <c r="K39" s="19" t="n">
        <f aca="false">K38+D39*E39/12</f>
        <v>1589.62056268401</v>
      </c>
      <c r="L39" s="19" t="n">
        <f aca="false">L38+((G38+C39)+J38)*(1+Předpoklady!$B$12)*Předpoklady!$B$9/12</f>
        <v>858.067919819731</v>
      </c>
      <c r="M39" s="19" t="n">
        <f aca="false">(O38+C39)*(1+Předpoklady!$B$12)</f>
        <v>168101.294389855</v>
      </c>
      <c r="N39" s="13" t="n">
        <f aca="false">INDEX(Předpoklady!$D$18:$D$21,MATCH(M39,Předpoklady!$A$18:$A$21,1))</f>
        <v>0.007</v>
      </c>
      <c r="O39" s="19" t="n">
        <f aca="false">M39*(1-N39/12)</f>
        <v>168003.235301461</v>
      </c>
      <c r="P39" s="19" t="n">
        <f aca="false">P38+M39*N39/12</f>
        <v>1852.58563719414</v>
      </c>
    </row>
    <row r="40" customFormat="false" ht="15" hidden="false" customHeight="false" outlineLevel="0" collapsed="false">
      <c r="A40" s="18" t="n">
        <v>39</v>
      </c>
      <c r="B40" s="18" t="n">
        <f aca="false">ROUNDUP(A40/12,0)</f>
        <v>4</v>
      </c>
      <c r="C40" s="17" t="n">
        <f aca="false">Předpoklady!$B$4</f>
        <v>4000</v>
      </c>
      <c r="D40" s="19" t="n">
        <f aca="false">(F39+C40)*(1+Předpoklady!$B$12)</f>
        <v>173259.329716428</v>
      </c>
      <c r="E40" s="13" t="n">
        <f aca="false">INDEX(Předpoklady!$C$18:$C$21,MATCH(D40,Předpoklady!$A$18:$A$21,1))</f>
        <v>0.006</v>
      </c>
      <c r="F40" s="19" t="n">
        <f aca="false">D40*(1-E40/12)</f>
        <v>173172.70005157</v>
      </c>
      <c r="G40" s="19" t="n">
        <f aca="false">(G39+C40)*(1+Předpoklady!$B$12)*(1-Předpoklady!$B$9/12)</f>
        <v>174070.057951581</v>
      </c>
      <c r="H40" s="19" t="n">
        <f aca="false">IF(AND(A40&gt;12,MOD(A40,12)=Předpoklady!$B$8),Předpoklady!$B$14,0)</f>
        <v>0</v>
      </c>
      <c r="I40" s="19" t="n">
        <f aca="false">I39+H40</f>
        <v>14400</v>
      </c>
      <c r="J40" s="19" t="n">
        <f aca="false">J39*(1+Předpoklady!$B$12)*(1-Předpoklady!$B$9/12)+H40</f>
        <v>15789.5751680852</v>
      </c>
      <c r="K40" s="19" t="n">
        <f aca="false">K39+D40*E40/12</f>
        <v>1676.25022754222</v>
      </c>
      <c r="L40" s="19" t="n">
        <f aca="false">L39+((G39+C40)+J39)*(1+Předpoklady!$B$12)*Předpoklady!$B$9/12</f>
        <v>905.544697294016</v>
      </c>
      <c r="M40" s="19" t="n">
        <f aca="false">(O39+C40)*(1+Předpoklady!$B$12)</f>
        <v>172975.766600959</v>
      </c>
      <c r="N40" s="13" t="n">
        <f aca="false">INDEX(Předpoklady!$D$18:$D$21,MATCH(M40,Předpoklady!$A$18:$A$21,1))</f>
        <v>0.007</v>
      </c>
      <c r="O40" s="19" t="n">
        <f aca="false">M40*(1-N40/12)</f>
        <v>172874.864070442</v>
      </c>
      <c r="P40" s="19" t="n">
        <f aca="false">P39+M40*N40/12</f>
        <v>1953.48816771137</v>
      </c>
    </row>
    <row r="41" customFormat="false" ht="15" hidden="false" customHeight="false" outlineLevel="0" collapsed="false">
      <c r="A41" s="18" t="n">
        <v>40</v>
      </c>
      <c r="B41" s="18" t="n">
        <f aca="false">ROUNDUP(A41/12,0)</f>
        <v>4</v>
      </c>
      <c r="C41" s="17" t="n">
        <f aca="false">Předpoklady!$B$4</f>
        <v>4000</v>
      </c>
      <c r="D41" s="19" t="n">
        <f aca="false">(F40+C41)*(1+Předpoklady!$B$12)</f>
        <v>178174.46025634</v>
      </c>
      <c r="E41" s="13" t="n">
        <f aca="false">INDEX(Předpoklady!$C$18:$C$21,MATCH(D41,Předpoklady!$A$18:$A$21,1))</f>
        <v>0.006</v>
      </c>
      <c r="F41" s="19" t="n">
        <f aca="false">D41*(1-E41/12)</f>
        <v>178085.373026212</v>
      </c>
      <c r="G41" s="19" t="n">
        <f aca="false">(G40+C41)*(1+Předpoklady!$B$12)*(1-Předpoklady!$B$9/12)</f>
        <v>179032.122725395</v>
      </c>
      <c r="H41" s="19" t="n">
        <f aca="false">IF(AND(A41&gt;12,MOD(A41,12)=Předpoklady!$B$8),Předpoklady!$B$14,0)</f>
        <v>7200</v>
      </c>
      <c r="I41" s="19" t="n">
        <f aca="false">I40+H41</f>
        <v>21600</v>
      </c>
      <c r="J41" s="19" t="n">
        <f aca="false">J40*(1+Předpoklady!$B$12)*(1-Předpoklady!$B$9/12)+H41</f>
        <v>23074.8820087605</v>
      </c>
      <c r="K41" s="19" t="n">
        <f aca="false">K40+D41*E41/12</f>
        <v>1765.33745767039</v>
      </c>
      <c r="L41" s="19" t="n">
        <f aca="false">L40+((G40+C41)+J40)*(1+Předpoklady!$B$12)*Předpoklady!$B$9/12</f>
        <v>954.283633211535</v>
      </c>
      <c r="M41" s="19" t="n">
        <f aca="false">(O40+C41)*(1+Předpoklady!$B$12)</f>
        <v>177874.940267274</v>
      </c>
      <c r="N41" s="13" t="n">
        <f aca="false">INDEX(Předpoklady!$D$18:$D$21,MATCH(M41,Předpoklady!$A$18:$A$21,1))</f>
        <v>0.007</v>
      </c>
      <c r="O41" s="19" t="n">
        <f aca="false">M41*(1-N41/12)</f>
        <v>177771.179885451</v>
      </c>
      <c r="P41" s="19" t="n">
        <f aca="false">P40+M41*N41/12</f>
        <v>2057.24854953394</v>
      </c>
    </row>
    <row r="42" customFormat="false" ht="15" hidden="false" customHeight="false" outlineLevel="0" collapsed="false">
      <c r="A42" s="18" t="n">
        <v>41</v>
      </c>
      <c r="B42" s="18" t="n">
        <f aca="false">ROUNDUP(A42/12,0)</f>
        <v>4</v>
      </c>
      <c r="C42" s="17" t="n">
        <f aca="false">Předpoklady!$B$4</f>
        <v>4000</v>
      </c>
      <c r="D42" s="19" t="n">
        <f aca="false">(F41+C42)*(1+Předpoklady!$B$12)</f>
        <v>183114.910198222</v>
      </c>
      <c r="E42" s="13" t="n">
        <f aca="false">INDEX(Předpoklady!$C$18:$C$21,MATCH(D42,Předpoklady!$A$18:$A$21,1))</f>
        <v>0.006</v>
      </c>
      <c r="F42" s="19" t="n">
        <f aca="false">D42*(1-E42/12)</f>
        <v>183023.352743123</v>
      </c>
      <c r="G42" s="19" t="n">
        <f aca="false">(G41+C42)*(1+Předpoklady!$B$12)*(1-Předpoklady!$B$9/12)</f>
        <v>184020.996204611</v>
      </c>
      <c r="H42" s="19" t="n">
        <f aca="false">IF(AND(A42&gt;12,MOD(A42,12)=Předpoklady!$B$8),Předpoklady!$B$14,0)</f>
        <v>0</v>
      </c>
      <c r="I42" s="19" t="n">
        <f aca="false">I41+H42</f>
        <v>21600</v>
      </c>
      <c r="J42" s="19" t="n">
        <f aca="false">J41*(1+Předpoklady!$B$12)*(1-Předpoklady!$B$9/12)+H42</f>
        <v>23199.5494087486</v>
      </c>
      <c r="K42" s="19" t="n">
        <f aca="false">K41+D42*E42/12</f>
        <v>1856.89491276951</v>
      </c>
      <c r="L42" s="19" t="n">
        <f aca="false">L41+((G41+C42)+J41)*(1+Předpoklady!$B$12)*Předpoklady!$B$9/12</f>
        <v>1006.10172413761</v>
      </c>
      <c r="M42" s="19" t="n">
        <f aca="false">(O41+C42)*(1+Předpoklady!$B$12)</f>
        <v>182798.940563764</v>
      </c>
      <c r="N42" s="13" t="n">
        <f aca="false">INDEX(Předpoklady!$D$18:$D$21,MATCH(M42,Předpoklady!$A$18:$A$21,1))</f>
        <v>0.007</v>
      </c>
      <c r="O42" s="19" t="n">
        <f aca="false">M42*(1-N42/12)</f>
        <v>182692.307848435</v>
      </c>
      <c r="P42" s="19" t="n">
        <f aca="false">P41+M42*N42/12</f>
        <v>2163.8812648628</v>
      </c>
    </row>
    <row r="43" customFormat="false" ht="15" hidden="false" customHeight="false" outlineLevel="0" collapsed="false">
      <c r="A43" s="18" t="n">
        <v>42</v>
      </c>
      <c r="B43" s="18" t="n">
        <f aca="false">ROUNDUP(A43/12,0)</f>
        <v>4</v>
      </c>
      <c r="C43" s="17" t="n">
        <f aca="false">Předpoklady!$B$4</f>
        <v>4000</v>
      </c>
      <c r="D43" s="19" t="n">
        <f aca="false">(F42+C43)*(1+Předpoklady!$B$12)</f>
        <v>188080.809970373</v>
      </c>
      <c r="E43" s="13" t="n">
        <f aca="false">INDEX(Předpoklady!$C$18:$C$21,MATCH(D43,Předpoklady!$A$18:$A$21,1))</f>
        <v>0.006</v>
      </c>
      <c r="F43" s="19" t="n">
        <f aca="false">D43*(1-E43/12)</f>
        <v>187986.769565388</v>
      </c>
      <c r="G43" s="19" t="n">
        <f aca="false">(G42+C43)*(1+Předpoklady!$B$12)*(1-Předpoklady!$B$9/12)</f>
        <v>189036.823229473</v>
      </c>
      <c r="H43" s="19" t="n">
        <f aca="false">IF(AND(A43&gt;12,MOD(A43,12)=Předpoklady!$B$8),Předpoklady!$B$14,0)</f>
        <v>0</v>
      </c>
      <c r="I43" s="19" t="n">
        <f aca="false">I42+H43</f>
        <v>21600</v>
      </c>
      <c r="J43" s="19" t="n">
        <f aca="false">J42*(1+Předpoklady!$B$12)*(1-Předpoklady!$B$9/12)+H43</f>
        <v>23324.8903532695</v>
      </c>
      <c r="K43" s="19" t="n">
        <f aca="false">K42+D43*E43/12</f>
        <v>1950.93531775469</v>
      </c>
      <c r="L43" s="19" t="n">
        <f aca="false">L42+((G42+C43)+J42)*(1+Předpoklady!$B$12)*Předpoklady!$B$9/12</f>
        <v>1059.20542845937</v>
      </c>
      <c r="M43" s="19" t="n">
        <f aca="false">(O42+C43)*(1+Předpoklady!$B$12)</f>
        <v>187747.89329972</v>
      </c>
      <c r="N43" s="13" t="n">
        <f aca="false">INDEX(Předpoklady!$D$18:$D$21,MATCH(M43,Předpoklady!$A$18:$A$21,1))</f>
        <v>0.007</v>
      </c>
      <c r="O43" s="19" t="n">
        <f aca="false">M43*(1-N43/12)</f>
        <v>187638.373695295</v>
      </c>
      <c r="P43" s="19" t="n">
        <f aca="false">P42+M43*N43/12</f>
        <v>2273.40086928764</v>
      </c>
    </row>
    <row r="44" customFormat="false" ht="15" hidden="false" customHeight="false" outlineLevel="0" collapsed="false">
      <c r="A44" s="18" t="n">
        <v>43</v>
      </c>
      <c r="B44" s="18" t="n">
        <f aca="false">ROUNDUP(A44/12,0)</f>
        <v>4</v>
      </c>
      <c r="C44" s="17" t="n">
        <f aca="false">Předpoklady!$B$4</f>
        <v>4000</v>
      </c>
      <c r="D44" s="19" t="n">
        <f aca="false">(F43+C44)*(1+Předpoklady!$B$12)</f>
        <v>193072.290672969</v>
      </c>
      <c r="E44" s="13" t="n">
        <f aca="false">INDEX(Předpoklady!$C$18:$C$21,MATCH(D44,Předpoklady!$A$18:$A$21,1))</f>
        <v>0.006</v>
      </c>
      <c r="F44" s="19" t="n">
        <f aca="false">D44*(1-E44/12)</f>
        <v>192975.754527632</v>
      </c>
      <c r="G44" s="19" t="n">
        <f aca="false">(G43+C44)*(1+Předpoklady!$B$12)*(1-Předpoklady!$B$9/12)</f>
        <v>194079.749422762</v>
      </c>
      <c r="H44" s="19" t="n">
        <f aca="false">IF(AND(A44&gt;12,MOD(A44,12)=Předpoklady!$B$8),Předpoklady!$B$14,0)</f>
        <v>0</v>
      </c>
      <c r="I44" s="19" t="n">
        <f aca="false">I43+H44</f>
        <v>21600</v>
      </c>
      <c r="J44" s="19" t="n">
        <f aca="false">J43*(1+Předpoklady!$B$12)*(1-Předpoklady!$B$9/12)+H44</f>
        <v>23450.9084813035</v>
      </c>
      <c r="K44" s="19" t="n">
        <f aca="false">K43+D44*E44/12</f>
        <v>2047.47146309118</v>
      </c>
      <c r="L44" s="19" t="n">
        <f aca="false">L43+((G43+C44)+J43)*(1+Předpoklady!$B$12)*Předpoklady!$B$9/12</f>
        <v>1113.60169200127</v>
      </c>
      <c r="M44" s="19" t="n">
        <f aca="false">(O43+C44)*(1+Předpoklady!$B$12)</f>
        <v>192721.924921974</v>
      </c>
      <c r="N44" s="13" t="n">
        <f aca="false">INDEX(Předpoklady!$D$18:$D$21,MATCH(M44,Předpoklady!$A$18:$A$21,1))</f>
        <v>0.007</v>
      </c>
      <c r="O44" s="19" t="n">
        <f aca="false">M44*(1-N44/12)</f>
        <v>192609.503799103</v>
      </c>
      <c r="P44" s="19" t="n">
        <f aca="false">P43+M44*N44/12</f>
        <v>2385.82199215879</v>
      </c>
    </row>
    <row r="45" customFormat="false" ht="15" hidden="false" customHeight="false" outlineLevel="0" collapsed="false">
      <c r="A45" s="18" t="n">
        <v>44</v>
      </c>
      <c r="B45" s="18" t="n">
        <f aca="false">ROUNDUP(A45/12,0)</f>
        <v>4</v>
      </c>
      <c r="C45" s="17" t="n">
        <f aca="false">Předpoklady!$B$4</f>
        <v>4000</v>
      </c>
      <c r="D45" s="19" t="n">
        <f aca="false">(F44+C45)*(1+Předpoklady!$B$12)</f>
        <v>198089.484081525</v>
      </c>
      <c r="E45" s="13" t="n">
        <f aca="false">INDEX(Předpoklady!$C$18:$C$21,MATCH(D45,Předpoklady!$A$18:$A$21,1))</f>
        <v>0.006</v>
      </c>
      <c r="F45" s="19" t="n">
        <f aca="false">D45*(1-E45/12)</f>
        <v>197990.439339485</v>
      </c>
      <c r="G45" s="19" t="n">
        <f aca="false">(G44+C45)*(1+Předpoklady!$B$12)*(1-Předpoklady!$B$9/12)</f>
        <v>199149.921194018</v>
      </c>
      <c r="H45" s="19" t="n">
        <f aca="false">IF(AND(A45&gt;12,MOD(A45,12)=Předpoklady!$B$8),Předpoklady!$B$14,0)</f>
        <v>0</v>
      </c>
      <c r="I45" s="19" t="n">
        <f aca="false">I44+H45</f>
        <v>21600</v>
      </c>
      <c r="J45" s="19" t="n">
        <f aca="false">J44*(1+Předpoklady!$B$12)*(1-Předpoklady!$B$9/12)+H45</f>
        <v>23577.6074514917</v>
      </c>
      <c r="K45" s="19" t="n">
        <f aca="false">K44+D45*E45/12</f>
        <v>2146.51620513194</v>
      </c>
      <c r="L45" s="19" t="n">
        <f aca="false">L44+((G44+C45)+J44)*(1+Předpoklady!$B$12)*Předpoklady!$B$9/12</f>
        <v>1169.29749811418</v>
      </c>
      <c r="M45" s="19" t="n">
        <f aca="false">(O44+C45)*(1+Předpoklady!$B$12)</f>
        <v>197721.162518129</v>
      </c>
      <c r="N45" s="13" t="n">
        <f aca="false">INDEX(Předpoklady!$D$18:$D$21,MATCH(M45,Předpoklady!$A$18:$A$21,1))</f>
        <v>0.007</v>
      </c>
      <c r="O45" s="19" t="n">
        <f aca="false">M45*(1-N45/12)</f>
        <v>197605.825173327</v>
      </c>
      <c r="P45" s="19" t="n">
        <f aca="false">P44+M45*N45/12</f>
        <v>2501.15933696103</v>
      </c>
    </row>
    <row r="46" customFormat="false" ht="15" hidden="false" customHeight="false" outlineLevel="0" collapsed="false">
      <c r="A46" s="18" t="n">
        <v>45</v>
      </c>
      <c r="B46" s="18" t="n">
        <f aca="false">ROUNDUP(A46/12,0)</f>
        <v>4</v>
      </c>
      <c r="C46" s="17" t="n">
        <f aca="false">Předpoklady!$B$4</f>
        <v>4000</v>
      </c>
      <c r="D46" s="19" t="n">
        <f aca="false">(F45+C46)*(1+Předpoklady!$B$12)</f>
        <v>203132.522650376</v>
      </c>
      <c r="E46" s="13" t="n">
        <f aca="false">INDEX(Předpoklady!$C$18:$C$21,MATCH(D46,Předpoklady!$A$18:$A$21,1))</f>
        <v>0.006</v>
      </c>
      <c r="F46" s="19" t="n">
        <f aca="false">D46*(1-E46/12)</f>
        <v>203030.956389051</v>
      </c>
      <c r="G46" s="19" t="n">
        <f aca="false">(G45+C46)*(1+Předpoklady!$B$12)*(1-Předpoklady!$B$9/12)</f>
        <v>204247.485743793</v>
      </c>
      <c r="H46" s="19" t="n">
        <f aca="false">IF(AND(A46&gt;12,MOD(A46,12)=Předpoklady!$B$8),Předpoklady!$B$14,0)</f>
        <v>0</v>
      </c>
      <c r="I46" s="19" t="n">
        <f aca="false">I45+H46</f>
        <v>21600</v>
      </c>
      <c r="J46" s="19" t="n">
        <f aca="false">J45*(1+Předpoklady!$B$12)*(1-Předpoklady!$B$9/12)+H46</f>
        <v>23704.9909422417</v>
      </c>
      <c r="K46" s="19" t="n">
        <f aca="false">K45+D46*E46/12</f>
        <v>2248.08246645713</v>
      </c>
      <c r="L46" s="19" t="n">
        <f aca="false">L45+((G45+C46)+J45)*(1+Předpoklady!$B$12)*Předpoklady!$B$9/12</f>
        <v>1226.29986787813</v>
      </c>
      <c r="M46" s="19" t="n">
        <f aca="false">(O45+C46)*(1+Předpoklady!$B$12)</f>
        <v>202745.733819804</v>
      </c>
      <c r="N46" s="13" t="n">
        <f aca="false">INDEX(Předpoklady!$D$18:$D$21,MATCH(M46,Předpoklady!$A$18:$A$21,1))</f>
        <v>0.007</v>
      </c>
      <c r="O46" s="19" t="n">
        <f aca="false">M46*(1-N46/12)</f>
        <v>202627.465475076</v>
      </c>
      <c r="P46" s="19" t="n">
        <f aca="false">P45+M46*N46/12</f>
        <v>2619.42768168925</v>
      </c>
    </row>
    <row r="47" customFormat="false" ht="15" hidden="false" customHeight="false" outlineLevel="0" collapsed="false">
      <c r="A47" s="18" t="n">
        <v>46</v>
      </c>
      <c r="B47" s="18" t="n">
        <f aca="false">ROUNDUP(A47/12,0)</f>
        <v>4</v>
      </c>
      <c r="C47" s="17" t="n">
        <f aca="false">Předpoklady!$B$4</f>
        <v>4000</v>
      </c>
      <c r="D47" s="19" t="n">
        <f aca="false">(F46+C47)*(1+Předpoklady!$B$12)</f>
        <v>208201.539516168</v>
      </c>
      <c r="E47" s="13" t="n">
        <f aca="false">INDEX(Předpoklady!$C$18:$C$21,MATCH(D47,Předpoklady!$A$18:$A$21,1))</f>
        <v>0.006</v>
      </c>
      <c r="F47" s="19" t="n">
        <f aca="false">D47*(1-E47/12)</f>
        <v>208097.43874641</v>
      </c>
      <c r="G47" s="19" t="n">
        <f aca="false">(G46+C47)*(1+Předpoklady!$B$12)*(1-Předpoklady!$B$9/12)</f>
        <v>209372.591067924</v>
      </c>
      <c r="H47" s="19" t="n">
        <f aca="false">IF(AND(A47&gt;12,MOD(A47,12)=Předpoklady!$B$8),Předpoklady!$B$14,0)</f>
        <v>0</v>
      </c>
      <c r="I47" s="19" t="n">
        <f aca="false">I46+H47</f>
        <v>21600</v>
      </c>
      <c r="J47" s="19" t="n">
        <f aca="false">J46*(1+Předpoklady!$B$12)*(1-Předpoklady!$B$9/12)+H47</f>
        <v>23833.0626518344</v>
      </c>
      <c r="K47" s="19" t="n">
        <f aca="false">K46+D47*E47/12</f>
        <v>2352.18323621521</v>
      </c>
      <c r="L47" s="19" t="n">
        <f aca="false">L46+((G46+C47)+J46)*(1+Předpoklady!$B$12)*Předpoklady!$B$9/12</f>
        <v>1284.61586030618</v>
      </c>
      <c r="M47" s="19" t="n">
        <f aca="false">(O46+C47)*(1+Předpoklady!$B$12)</f>
        <v>207795.767205903</v>
      </c>
      <c r="N47" s="13" t="n">
        <f aca="false">INDEX(Předpoklady!$D$18:$D$21,MATCH(M47,Předpoklady!$A$18:$A$21,1))</f>
        <v>0.007</v>
      </c>
      <c r="O47" s="19" t="n">
        <f aca="false">M47*(1-N47/12)</f>
        <v>207674.553008367</v>
      </c>
      <c r="P47" s="19" t="n">
        <f aca="false">P46+M47*N47/12</f>
        <v>2740.64187922603</v>
      </c>
    </row>
    <row r="48" customFormat="false" ht="15" hidden="false" customHeight="false" outlineLevel="0" collapsed="false">
      <c r="A48" s="18" t="n">
        <v>47</v>
      </c>
      <c r="B48" s="18" t="n">
        <f aca="false">ROUNDUP(A48/12,0)</f>
        <v>4</v>
      </c>
      <c r="C48" s="17" t="n">
        <f aca="false">Předpoklady!$B$4</f>
        <v>4000</v>
      </c>
      <c r="D48" s="19" t="n">
        <f aca="false">(F47+C48)*(1+Předpoklady!$B$12)</f>
        <v>213296.668501378</v>
      </c>
      <c r="E48" s="13" t="n">
        <f aca="false">INDEX(Předpoklady!$C$18:$C$21,MATCH(D48,Předpoklady!$A$18:$A$21,1))</f>
        <v>0.006</v>
      </c>
      <c r="F48" s="19" t="n">
        <f aca="false">D48*(1-E48/12)</f>
        <v>213190.020167128</v>
      </c>
      <c r="G48" s="19" t="n">
        <f aca="false">(G47+C48)*(1+Předpoklady!$B$12)*(1-Předpoklady!$B$9/12)</f>
        <v>214525.385961829</v>
      </c>
      <c r="H48" s="19" t="n">
        <f aca="false">IF(AND(A48&gt;12,MOD(A48,12)=Předpoklady!$B$8),Předpoklady!$B$14,0)</f>
        <v>0</v>
      </c>
      <c r="I48" s="19" t="n">
        <f aca="false">I47+H48</f>
        <v>21600</v>
      </c>
      <c r="J48" s="19" t="n">
        <f aca="false">J47*(1+Předpoklady!$B$12)*(1-Předpoklady!$B$9/12)+H48</f>
        <v>23961.8262985317</v>
      </c>
      <c r="K48" s="19" t="n">
        <f aca="false">K47+D48*E48/12</f>
        <v>2458.8315704659</v>
      </c>
      <c r="L48" s="19" t="n">
        <f aca="false">L47+((G47+C48)+J47)*(1+Předpoklady!$B$12)*Předpoklady!$B$9/12</f>
        <v>1344.25257254933</v>
      </c>
      <c r="M48" s="19" t="n">
        <f aca="false">(O47+C48)*(1+Předpoklady!$B$12)</f>
        <v>212871.39170589</v>
      </c>
      <c r="N48" s="13" t="n">
        <f aca="false">INDEX(Předpoklady!$D$18:$D$21,MATCH(M48,Předpoklady!$A$18:$A$21,1))</f>
        <v>0.007</v>
      </c>
      <c r="O48" s="19" t="n">
        <f aca="false">M48*(1-N48/12)</f>
        <v>212747.216727395</v>
      </c>
      <c r="P48" s="19" t="n">
        <f aca="false">P47+M48*N48/12</f>
        <v>2864.81685772113</v>
      </c>
    </row>
    <row r="49" customFormat="false" ht="15" hidden="false" customHeight="false" outlineLevel="0" collapsed="false">
      <c r="A49" s="18" t="n">
        <v>48</v>
      </c>
      <c r="B49" s="18" t="n">
        <f aca="false">ROUNDUP(A49/12,0)</f>
        <v>4</v>
      </c>
      <c r="C49" s="17" t="n">
        <f aca="false">Předpoklady!$B$4</f>
        <v>4000</v>
      </c>
      <c r="D49" s="19" t="n">
        <f aca="false">(F48+C49)*(1+Předpoklady!$B$12)</f>
        <v>218418.044117846</v>
      </c>
      <c r="E49" s="13" t="n">
        <f aca="false">INDEX(Předpoklady!$C$18:$C$21,MATCH(D49,Předpoklady!$A$18:$A$21,1))</f>
        <v>0.006</v>
      </c>
      <c r="F49" s="19" t="n">
        <f aca="false">D49*(1-E49/12)</f>
        <v>218308.835095787</v>
      </c>
      <c r="G49" s="19" t="n">
        <f aca="false">(G48+C49)*(1+Předpoklady!$B$12)*(1-Předpoklady!$B$9/12)</f>
        <v>219706.02002483</v>
      </c>
      <c r="H49" s="19" t="n">
        <f aca="false">IF(AND(A49&gt;12,MOD(A49,12)=Předpoklady!$B$8),Předpoklady!$B$14,0)</f>
        <v>0</v>
      </c>
      <c r="I49" s="19" t="n">
        <f aca="false">I48+H49</f>
        <v>21600</v>
      </c>
      <c r="J49" s="19" t="n">
        <f aca="false">J48*(1+Předpoklady!$B$12)*(1-Předpoklady!$B$9/12)+H49</f>
        <v>24091.2856206843</v>
      </c>
      <c r="K49" s="19" t="n">
        <f aca="false">K48+D49*E49/12</f>
        <v>2568.04059252482</v>
      </c>
      <c r="L49" s="19" t="n">
        <f aca="false">L48+((G48+C49)+J48)*(1+Předpoklady!$B$12)*Předpoklady!$B$9/12</f>
        <v>1405.21714010259</v>
      </c>
      <c r="M49" s="19" t="n">
        <f aca="false">(O48+C49)*(1+Předpoklady!$B$12)</f>
        <v>217972.737003087</v>
      </c>
      <c r="N49" s="13" t="n">
        <f aca="false">INDEX(Předpoklady!$D$18:$D$21,MATCH(M49,Předpoklady!$A$18:$A$21,1))</f>
        <v>0.007</v>
      </c>
      <c r="O49" s="19" t="n">
        <f aca="false">M49*(1-N49/12)</f>
        <v>217845.586239835</v>
      </c>
      <c r="P49" s="19" t="n">
        <f aca="false">P48+M49*N49/12</f>
        <v>2991.96762097293</v>
      </c>
    </row>
    <row r="50" customFormat="false" ht="15" hidden="false" customHeight="false" outlineLevel="0" collapsed="false">
      <c r="A50" s="18" t="n">
        <v>49</v>
      </c>
      <c r="B50" s="18" t="n">
        <f aca="false">ROUNDUP(A50/12,0)</f>
        <v>5</v>
      </c>
      <c r="C50" s="17" t="n">
        <f aca="false">Předpoklady!$B$4</f>
        <v>4000</v>
      </c>
      <c r="D50" s="19" t="n">
        <f aca="false">(F49+C50)*(1+Předpoklady!$B$12)</f>
        <v>223565.801570324</v>
      </c>
      <c r="E50" s="13" t="n">
        <f aca="false">INDEX(Předpoklady!$C$18:$C$21,MATCH(D50,Předpoklady!$A$18:$A$21,1))</f>
        <v>0.006</v>
      </c>
      <c r="F50" s="19" t="n">
        <f aca="false">D50*(1-E50/12)</f>
        <v>223454.018669538</v>
      </c>
      <c r="G50" s="19" t="n">
        <f aca="false">(G49+C50)*(1+Předpoklady!$B$12)*(1-Předpoklady!$B$9/12)</f>
        <v>224914.643664492</v>
      </c>
      <c r="H50" s="19" t="n">
        <f aca="false">IF(AND(A50&gt;12,MOD(A50,12)=Předpoklady!$B$8),Předpoklady!$B$14,0)</f>
        <v>0</v>
      </c>
      <c r="I50" s="19" t="n">
        <f aca="false">I49+H50</f>
        <v>21600</v>
      </c>
      <c r="J50" s="19" t="n">
        <f aca="false">J49*(1+Předpoklady!$B$12)*(1-Předpoklady!$B$9/12)+H50</f>
        <v>24221.4443768401</v>
      </c>
      <c r="K50" s="19" t="n">
        <f aca="false">K49+D50*E50/12</f>
        <v>2679.82349330999</v>
      </c>
      <c r="L50" s="19" t="n">
        <f aca="false">L49+((G49+C50)+J49)*(1+Předpoklady!$B$12)*Předpoklady!$B$9/12</f>
        <v>1467.51673701215</v>
      </c>
      <c r="M50" s="19" t="n">
        <f aca="false">(O49+C50)*(1+Předpoklady!$B$12)</f>
        <v>223099.933437989</v>
      </c>
      <c r="N50" s="13" t="n">
        <f aca="false">INDEX(Předpoklady!$D$18:$D$21,MATCH(M50,Předpoklady!$A$18:$A$21,1))</f>
        <v>0.007</v>
      </c>
      <c r="O50" s="19" t="n">
        <f aca="false">M50*(1-N50/12)</f>
        <v>222969.79181015</v>
      </c>
      <c r="P50" s="19" t="n">
        <f aca="false">P49+M50*N50/12</f>
        <v>3122.10924881176</v>
      </c>
    </row>
    <row r="51" customFormat="false" ht="15" hidden="false" customHeight="false" outlineLevel="0" collapsed="false">
      <c r="A51" s="18" t="n">
        <v>50</v>
      </c>
      <c r="B51" s="18" t="n">
        <f aca="false">ROUNDUP(A51/12,0)</f>
        <v>5</v>
      </c>
      <c r="C51" s="17" t="n">
        <f aca="false">Předpoklady!$B$4</f>
        <v>4000</v>
      </c>
      <c r="D51" s="19" t="n">
        <f aca="false">(F50+C51)*(1+Předpoklady!$B$12)</f>
        <v>228740.076760046</v>
      </c>
      <c r="E51" s="13" t="n">
        <f aca="false">INDEX(Předpoklady!$C$18:$C$21,MATCH(D51,Předpoklady!$A$18:$A$21,1))</f>
        <v>0.006</v>
      </c>
      <c r="F51" s="19" t="n">
        <f aca="false">D51*(1-E51/12)</f>
        <v>228625.706721666</v>
      </c>
      <c r="G51" s="19" t="n">
        <f aca="false">(G50+C51)*(1+Předpoklady!$B$12)*(1-Předpoklady!$B$9/12)</f>
        <v>230151.408100992</v>
      </c>
      <c r="H51" s="19" t="n">
        <f aca="false">IF(AND(A51&gt;12,MOD(A51,12)=Předpoklady!$B$8),Předpoklady!$B$14,0)</f>
        <v>0</v>
      </c>
      <c r="I51" s="19" t="n">
        <f aca="false">I50+H51</f>
        <v>21600</v>
      </c>
      <c r="J51" s="19" t="n">
        <f aca="false">J50*(1+Předpoklady!$B$12)*(1-Předpoklady!$B$9/12)+H51</f>
        <v>24352.3063458535</v>
      </c>
      <c r="K51" s="19" t="n">
        <f aca="false">K50+D51*E51/12</f>
        <v>2794.19353169001</v>
      </c>
      <c r="L51" s="19" t="n">
        <f aca="false">L50+((G50+C51)+J50)*(1+Předpoklady!$B$12)*Předpoklady!$B$9/12</f>
        <v>1531.15857608363</v>
      </c>
      <c r="M51" s="19" t="n">
        <f aca="false">(O50+C51)*(1+Předpoklady!$B$12)</f>
        <v>228253.112011594</v>
      </c>
      <c r="N51" s="13" t="n">
        <f aca="false">INDEX(Předpoklady!$D$18:$D$21,MATCH(M51,Předpoklady!$A$18:$A$21,1))</f>
        <v>0.007</v>
      </c>
      <c r="O51" s="19" t="n">
        <f aca="false">M51*(1-N51/12)</f>
        <v>228119.964362921</v>
      </c>
      <c r="P51" s="19" t="n">
        <f aca="false">P50+M51*N51/12</f>
        <v>3255.25689748519</v>
      </c>
    </row>
    <row r="52" customFormat="false" ht="15" hidden="false" customHeight="false" outlineLevel="0" collapsed="false">
      <c r="A52" s="18" t="n">
        <v>51</v>
      </c>
      <c r="B52" s="18" t="n">
        <f aca="false">ROUNDUP(A52/12,0)</f>
        <v>5</v>
      </c>
      <c r="C52" s="17" t="n">
        <f aca="false">Předpoklady!$B$4</f>
        <v>4000</v>
      </c>
      <c r="D52" s="19" t="n">
        <f aca="false">(F51+C52)*(1+Předpoklady!$B$12)</f>
        <v>233941.006288318</v>
      </c>
      <c r="E52" s="13" t="n">
        <f aca="false">INDEX(Předpoklady!$C$18:$C$21,MATCH(D52,Předpoklady!$A$18:$A$21,1))</f>
        <v>0.006</v>
      </c>
      <c r="F52" s="19" t="n">
        <f aca="false">D52*(1-E52/12)</f>
        <v>233824.035785174</v>
      </c>
      <c r="G52" s="19" t="n">
        <f aca="false">(G51+C52)*(1+Předpoklady!$B$12)*(1-Předpoklady!$B$9/12)</f>
        <v>235416.465371509</v>
      </c>
      <c r="H52" s="19" t="n">
        <f aca="false">IF(AND(A52&gt;12,MOD(A52,12)=Předpoklady!$B$8),Předpoklady!$B$14,0)</f>
        <v>0</v>
      </c>
      <c r="I52" s="19" t="n">
        <f aca="false">I51+H52</f>
        <v>21600</v>
      </c>
      <c r="J52" s="19" t="n">
        <f aca="false">J51*(1+Předpoklady!$B$12)*(1-Předpoklady!$B$9/12)+H52</f>
        <v>24483.875326995</v>
      </c>
      <c r="K52" s="19" t="n">
        <f aca="false">K51+D52*E52/12</f>
        <v>2911.16403483417</v>
      </c>
      <c r="L52" s="19" t="n">
        <f aca="false">L51+((G51+C52)+J51)*(1+Předpoklady!$B$12)*Předpoklady!$B$9/12</f>
        <v>1596.14990909151</v>
      </c>
      <c r="M52" s="19" t="n">
        <f aca="false">(O51+C52)*(1+Předpoklady!$B$12)</f>
        <v>233432.404388748</v>
      </c>
      <c r="N52" s="13" t="n">
        <f aca="false">INDEX(Předpoklady!$D$18:$D$21,MATCH(M52,Předpoklady!$A$18:$A$21,1))</f>
        <v>0.007</v>
      </c>
      <c r="O52" s="19" t="n">
        <f aca="false">M52*(1-N52/12)</f>
        <v>233296.235486188</v>
      </c>
      <c r="P52" s="19" t="n">
        <f aca="false">P51+M52*N52/12</f>
        <v>3391.42580004529</v>
      </c>
    </row>
    <row r="53" customFormat="false" ht="15" hidden="false" customHeight="false" outlineLevel="0" collapsed="false">
      <c r="A53" s="18" t="n">
        <v>52</v>
      </c>
      <c r="B53" s="18" t="n">
        <f aca="false">ROUNDUP(A53/12,0)</f>
        <v>5</v>
      </c>
      <c r="C53" s="17" t="n">
        <f aca="false">Předpoklady!$B$4</f>
        <v>4000</v>
      </c>
      <c r="D53" s="19" t="n">
        <f aca="false">(F52+C53)*(1+Předpoklady!$B$12)</f>
        <v>239168.727460122</v>
      </c>
      <c r="E53" s="13" t="n">
        <f aca="false">INDEX(Předpoklady!$C$18:$C$21,MATCH(D53,Předpoklady!$A$18:$A$21,1))</f>
        <v>0.006</v>
      </c>
      <c r="F53" s="19" t="n">
        <f aca="false">D53*(1-E53/12)</f>
        <v>239049.143096392</v>
      </c>
      <c r="G53" s="19" t="n">
        <f aca="false">(G52+C53)*(1+Předpoklady!$B$12)*(1-Předpoklady!$B$9/12)</f>
        <v>240709.96833464</v>
      </c>
      <c r="H53" s="19" t="n">
        <f aca="false">IF(AND(A53&gt;12,MOD(A53,12)=Předpoklady!$B$8),Předpoklady!$B$14,0)</f>
        <v>7200</v>
      </c>
      <c r="I53" s="19" t="n">
        <f aca="false">I52+H53</f>
        <v>28800</v>
      </c>
      <c r="J53" s="19" t="n">
        <f aca="false">J52*(1+Předpoklady!$B$12)*(1-Předpoklady!$B$9/12)+H53</f>
        <v>31816.1551400615</v>
      </c>
      <c r="K53" s="19" t="n">
        <f aca="false">K52+D53*E53/12</f>
        <v>3030.74839856423</v>
      </c>
      <c r="L53" s="19" t="n">
        <f aca="false">L52+((G52+C53)+J52)*(1+Předpoklady!$B$12)*Předpoklady!$B$9/12</f>
        <v>1662.49802698966</v>
      </c>
      <c r="M53" s="19" t="n">
        <f aca="false">(O52+C53)*(1+Předpoklady!$B$12)</f>
        <v>238637.942901511</v>
      </c>
      <c r="N53" s="13" t="n">
        <f aca="false">INDEX(Předpoklady!$D$18:$D$21,MATCH(M53,Předpoklady!$A$18:$A$21,1))</f>
        <v>0.007</v>
      </c>
      <c r="O53" s="19" t="n">
        <f aca="false">M53*(1-N53/12)</f>
        <v>238498.737434818</v>
      </c>
      <c r="P53" s="19" t="n">
        <f aca="false">P52+M53*N53/12</f>
        <v>3530.63126673784</v>
      </c>
    </row>
    <row r="54" customFormat="false" ht="15" hidden="false" customHeight="false" outlineLevel="0" collapsed="false">
      <c r="A54" s="18" t="n">
        <v>53</v>
      </c>
      <c r="B54" s="18" t="n">
        <f aca="false">ROUNDUP(A54/12,0)</f>
        <v>5</v>
      </c>
      <c r="C54" s="17" t="n">
        <f aca="false">Předpoklady!$B$4</f>
        <v>4000</v>
      </c>
      <c r="D54" s="19" t="n">
        <f aca="false">(F53+C54)*(1+Předpoklady!$B$12)</f>
        <v>244423.378287744</v>
      </c>
      <c r="E54" s="13" t="n">
        <f aca="false">INDEX(Předpoklady!$C$18:$C$21,MATCH(D54,Předpoklady!$A$18:$A$21,1))</f>
        <v>0.006</v>
      </c>
      <c r="F54" s="19" t="n">
        <f aca="false">D54*(1-E54/12)</f>
        <v>244301.1665986</v>
      </c>
      <c r="G54" s="19" t="n">
        <f aca="false">(G53+C54)*(1+Předpoklady!$B$12)*(1-Předpoklady!$B$9/12)</f>
        <v>246032.070674833</v>
      </c>
      <c r="H54" s="19" t="n">
        <f aca="false">IF(AND(A54&gt;12,MOD(A54,12)=Předpoklady!$B$8),Předpoklady!$B$14,0)</f>
        <v>0</v>
      </c>
      <c r="I54" s="19" t="n">
        <f aca="false">I53+H54</f>
        <v>28800</v>
      </c>
      <c r="J54" s="19" t="n">
        <f aca="false">J53*(1+Předpoklady!$B$12)*(1-Předpoklady!$B$9/12)+H54</f>
        <v>31988.0492948149</v>
      </c>
      <c r="K54" s="19" t="n">
        <f aca="false">K53+D54*E54/12</f>
        <v>3152.9600877081</v>
      </c>
      <c r="L54" s="19" t="n">
        <f aca="false">L53+((G53+C54)+J53)*(1+Předpoklady!$B$12)*Předpoklady!$B$9/12</f>
        <v>1732.02043758472</v>
      </c>
      <c r="M54" s="19" t="n">
        <f aca="false">(O53+C54)*(1+Předpoklady!$B$12)</f>
        <v>243869.860552537</v>
      </c>
      <c r="N54" s="13" t="n">
        <f aca="false">INDEX(Předpoklady!$D$18:$D$21,MATCH(M54,Předpoklady!$A$18:$A$21,1))</f>
        <v>0.007</v>
      </c>
      <c r="O54" s="19" t="n">
        <f aca="false">M54*(1-N54/12)</f>
        <v>243727.603133881</v>
      </c>
      <c r="P54" s="19" t="n">
        <f aca="false">P53+M54*N54/12</f>
        <v>3672.88868539349</v>
      </c>
    </row>
    <row r="55" customFormat="false" ht="15" hidden="false" customHeight="false" outlineLevel="0" collapsed="false">
      <c r="A55" s="18" t="n">
        <v>54</v>
      </c>
      <c r="B55" s="18" t="n">
        <f aca="false">ROUNDUP(A55/12,0)</f>
        <v>5</v>
      </c>
      <c r="C55" s="17" t="n">
        <f aca="false">Předpoklady!$B$4</f>
        <v>4000</v>
      </c>
      <c r="D55" s="19" t="n">
        <f aca="false">(F54+C55)*(1+Předpoklady!$B$12)</f>
        <v>249705.097494411</v>
      </c>
      <c r="E55" s="13" t="n">
        <f aca="false">INDEX(Předpoklady!$C$18:$C$21,MATCH(D55,Předpoklady!$A$18:$A$21,1))</f>
        <v>0.006</v>
      </c>
      <c r="F55" s="19" t="n">
        <f aca="false">D55*(1-E55/12)</f>
        <v>249580.244945663</v>
      </c>
      <c r="G55" s="19" t="n">
        <f aca="false">(G54+C55)*(1+Předpoklady!$B$12)*(1-Předpoklady!$B$9/12)</f>
        <v>251382.926906854</v>
      </c>
      <c r="H55" s="19" t="n">
        <f aca="false">IF(AND(A55&gt;12,MOD(A55,12)=Předpoklady!$B$8),Předpoklady!$B$14,0)</f>
        <v>0</v>
      </c>
      <c r="I55" s="19" t="n">
        <f aca="false">I54+H55</f>
        <v>28800</v>
      </c>
      <c r="J55" s="19" t="n">
        <f aca="false">J54*(1+Předpoklady!$B$12)*(1-Předpoklady!$B$9/12)+H55</f>
        <v>32160.8721475932</v>
      </c>
      <c r="K55" s="19" t="n">
        <f aca="false">K54+D55*E55/12</f>
        <v>3277.81263645531</v>
      </c>
      <c r="L55" s="19" t="n">
        <f aca="false">L54+((G54+C55)+J54)*(1+Předpoklady!$B$12)*Předpoklady!$B$9/12</f>
        <v>1802.92411326725</v>
      </c>
      <c r="M55" s="19" t="n">
        <f aca="false">(O54+C55)*(1+Předpoklady!$B$12)</f>
        <v>249128.291018474</v>
      </c>
      <c r="N55" s="13" t="n">
        <f aca="false">INDEX(Předpoklady!$D$18:$D$21,MATCH(M55,Předpoklady!$A$18:$A$21,1))</f>
        <v>0.007</v>
      </c>
      <c r="O55" s="19" t="n">
        <f aca="false">M55*(1-N55/12)</f>
        <v>248982.966182046</v>
      </c>
      <c r="P55" s="19" t="n">
        <f aca="false">P54+M55*N55/12</f>
        <v>3818.21352182093</v>
      </c>
    </row>
    <row r="56" customFormat="false" ht="15" hidden="false" customHeight="false" outlineLevel="0" collapsed="false">
      <c r="A56" s="18" t="n">
        <v>55</v>
      </c>
      <c r="B56" s="18" t="n">
        <f aca="false">ROUNDUP(A56/12,0)</f>
        <v>5</v>
      </c>
      <c r="C56" s="17" t="n">
        <f aca="false">Předpoklady!$B$4</f>
        <v>4000</v>
      </c>
      <c r="D56" s="19" t="n">
        <f aca="false">(F55+C56)*(1+Předpoklady!$B$12)</f>
        <v>255014.02451796</v>
      </c>
      <c r="E56" s="13" t="n">
        <f aca="false">INDEX(Předpoklady!$C$18:$C$21,MATCH(D56,Předpoklady!$A$18:$A$21,1))</f>
        <v>0.006</v>
      </c>
      <c r="F56" s="19" t="n">
        <f aca="false">D56*(1-E56/12)</f>
        <v>254886.517505701</v>
      </c>
      <c r="G56" s="19" t="n">
        <f aca="false">(G55+C56)*(1+Předpoklady!$B$12)*(1-Předpoklady!$B$9/12)</f>
        <v>256762.69238027</v>
      </c>
      <c r="H56" s="19" t="n">
        <f aca="false">IF(AND(A56&gt;12,MOD(A56,12)=Předpoklady!$B$8),Předpoklady!$B$14,0)</f>
        <v>0</v>
      </c>
      <c r="I56" s="19" t="n">
        <f aca="false">I55+H56</f>
        <v>28800</v>
      </c>
      <c r="J56" s="19" t="n">
        <f aca="false">J55*(1+Předpoklady!$B$12)*(1-Předpoklady!$B$9/12)+H56</f>
        <v>32334.6287159029</v>
      </c>
      <c r="K56" s="19" t="n">
        <f aca="false">K55+D56*E56/12</f>
        <v>3405.31964871429</v>
      </c>
      <c r="L56" s="19" t="n">
        <f aca="false">L55+((G55+C56)+J55)*(1+Předpoklady!$B$12)*Předpoklady!$B$9/12</f>
        <v>1875.21651664214</v>
      </c>
      <c r="M56" s="19" t="n">
        <f aca="false">(O55+C56)*(1+Předpoklady!$B$12)</f>
        <v>254413.368653376</v>
      </c>
      <c r="N56" s="13" t="n">
        <f aca="false">INDEX(Předpoklady!$D$18:$D$21,MATCH(M56,Předpoklady!$A$18:$A$21,1))</f>
        <v>0.007</v>
      </c>
      <c r="O56" s="19" t="n">
        <f aca="false">M56*(1-N56/12)</f>
        <v>254264.960854995</v>
      </c>
      <c r="P56" s="19" t="n">
        <f aca="false">P55+M56*N56/12</f>
        <v>3966.62132020207</v>
      </c>
    </row>
    <row r="57" customFormat="false" ht="15" hidden="false" customHeight="false" outlineLevel="0" collapsed="false">
      <c r="A57" s="18" t="n">
        <v>56</v>
      </c>
      <c r="B57" s="18" t="n">
        <f aca="false">ROUNDUP(A57/12,0)</f>
        <v>5</v>
      </c>
      <c r="C57" s="17" t="n">
        <f aca="false">Předpoklady!$B$4</f>
        <v>4000</v>
      </c>
      <c r="D57" s="19" t="n">
        <f aca="false">(F56+C57)*(1+Předpoklady!$B$12)</f>
        <v>260350.299514517</v>
      </c>
      <c r="E57" s="13" t="n">
        <f aca="false">INDEX(Předpoklady!$C$18:$C$21,MATCH(D57,Předpoklady!$A$18:$A$21,1))</f>
        <v>0.006</v>
      </c>
      <c r="F57" s="19" t="n">
        <f aca="false">D57*(1-E57/12)</f>
        <v>260220.12436476</v>
      </c>
      <c r="G57" s="19" t="n">
        <f aca="false">(G56+C57)*(1+Předpoklady!$B$12)*(1-Předpoklady!$B$9/12)</f>
        <v>262171.523283961</v>
      </c>
      <c r="H57" s="19" t="n">
        <f aca="false">IF(AND(A57&gt;12,MOD(A57,12)=Předpoklady!$B$8),Předpoklady!$B$14,0)</f>
        <v>0</v>
      </c>
      <c r="I57" s="19" t="n">
        <f aca="false">I56+H57</f>
        <v>28800</v>
      </c>
      <c r="J57" s="19" t="n">
        <f aca="false">J56*(1+Předpoklady!$B$12)*(1-Předpoklady!$B$9/12)+H57</f>
        <v>32509.3240443584</v>
      </c>
      <c r="K57" s="19" t="n">
        <f aca="false">K56+D57*E57/12</f>
        <v>3535.49479847154</v>
      </c>
      <c r="L57" s="19" t="n">
        <f aca="false">L56+((G56+C57)+J56)*(1+Předpoklady!$B$12)*Předpoklady!$B$9/12</f>
        <v>1948.90515063272</v>
      </c>
      <c r="M57" s="19" t="n">
        <f aca="false">(O56+C57)*(1+Předpoklady!$B$12)</f>
        <v>259725.228492142</v>
      </c>
      <c r="N57" s="13" t="n">
        <f aca="false">INDEX(Předpoklady!$D$18:$D$21,MATCH(M57,Předpoklady!$A$18:$A$21,1))</f>
        <v>0.007</v>
      </c>
      <c r="O57" s="19" t="n">
        <f aca="false">M57*(1-N57/12)</f>
        <v>259573.722108855</v>
      </c>
      <c r="P57" s="19" t="n">
        <f aca="false">P56+M57*N57/12</f>
        <v>4118.12770348915</v>
      </c>
    </row>
    <row r="58" customFormat="false" ht="15" hidden="false" customHeight="false" outlineLevel="0" collapsed="false">
      <c r="A58" s="18" t="n">
        <v>57</v>
      </c>
      <c r="B58" s="18" t="n">
        <f aca="false">ROUNDUP(A58/12,0)</f>
        <v>5</v>
      </c>
      <c r="C58" s="17" t="n">
        <f aca="false">Předpoklady!$B$4</f>
        <v>4000</v>
      </c>
      <c r="D58" s="19" t="n">
        <f aca="false">(F57+C58)*(1+Předpoklady!$B$12)</f>
        <v>265714.063362197</v>
      </c>
      <c r="E58" s="13" t="n">
        <f aca="false">INDEX(Předpoklady!$C$18:$C$21,MATCH(D58,Předpoklady!$A$18:$A$21,1))</f>
        <v>0.006</v>
      </c>
      <c r="F58" s="19" t="n">
        <f aca="false">D58*(1-E58/12)</f>
        <v>265581.206330516</v>
      </c>
      <c r="G58" s="19" t="n">
        <f aca="false">(G57+C58)*(1+Předpoklady!$B$12)*(1-Předpoklady!$B$9/12)</f>
        <v>267609.576650652</v>
      </c>
      <c r="H58" s="19" t="n">
        <f aca="false">IF(AND(A58&gt;12,MOD(A58,12)=Předpoklady!$B$8),Předpoklady!$B$14,0)</f>
        <v>0</v>
      </c>
      <c r="I58" s="19" t="n">
        <f aca="false">I57+H58</f>
        <v>28800</v>
      </c>
      <c r="J58" s="19" t="n">
        <f aca="false">J57*(1+Předpoklady!$B$12)*(1-Předpoklady!$B$9/12)+H58</f>
        <v>32684.9632048293</v>
      </c>
      <c r="K58" s="19" t="n">
        <f aca="false">K57+D58*E58/12</f>
        <v>3668.35183015264</v>
      </c>
      <c r="L58" s="19" t="n">
        <f aca="false">L57+((G57+C58)+J57)*(1+Předpoklady!$B$12)*Předpoklady!$B$9/12</f>
        <v>2023.99755869861</v>
      </c>
      <c r="M58" s="19" t="n">
        <f aca="false">(O57+C58)*(1+Předpoklady!$B$12)</f>
        <v>265064.006253958</v>
      </c>
      <c r="N58" s="13" t="n">
        <f aca="false">INDEX(Předpoklady!$D$18:$D$21,MATCH(M58,Předpoklady!$A$18:$A$21,1))</f>
        <v>0.007</v>
      </c>
      <c r="O58" s="19" t="n">
        <f aca="false">M58*(1-N58/12)</f>
        <v>264909.385583643</v>
      </c>
      <c r="P58" s="19" t="n">
        <f aca="false">P57+M58*N58/12</f>
        <v>4272.74837380396</v>
      </c>
    </row>
    <row r="59" customFormat="false" ht="15" hidden="false" customHeight="false" outlineLevel="0" collapsed="false">
      <c r="A59" s="18" t="n">
        <v>58</v>
      </c>
      <c r="B59" s="18" t="n">
        <f aca="false">ROUNDUP(A59/12,0)</f>
        <v>5</v>
      </c>
      <c r="C59" s="17" t="n">
        <f aca="false">Předpoklady!$B$4</f>
        <v>4000</v>
      </c>
      <c r="D59" s="19" t="n">
        <f aca="false">(F58+C59)*(1+Předpoklady!$B$12)</f>
        <v>271105.457664821</v>
      </c>
      <c r="E59" s="13" t="n">
        <f aca="false">INDEX(Předpoklady!$C$18:$C$21,MATCH(D59,Předpoklady!$A$18:$A$21,1))</f>
        <v>0.006</v>
      </c>
      <c r="F59" s="19" t="n">
        <f aca="false">D59*(1-E59/12)</f>
        <v>270969.904935988</v>
      </c>
      <c r="G59" s="19" t="n">
        <f aca="false">(G58+C59)*(1+Předpoklady!$B$12)*(1-Předpoklady!$B$9/12)</f>
        <v>273077.010361475</v>
      </c>
      <c r="H59" s="19" t="n">
        <f aca="false">IF(AND(A59&gt;12,MOD(A59,12)=Předpoklady!$B$8),Předpoklady!$B$14,0)</f>
        <v>0</v>
      </c>
      <c r="I59" s="19" t="n">
        <f aca="false">I58+H59</f>
        <v>28800</v>
      </c>
      <c r="J59" s="19" t="n">
        <f aca="false">J58*(1+Předpoklady!$B$12)*(1-Předpoklady!$B$9/12)+H59</f>
        <v>32861.5512965867</v>
      </c>
      <c r="K59" s="19" t="n">
        <f aca="false">K58+D59*E59/12</f>
        <v>3803.90455898505</v>
      </c>
      <c r="L59" s="19" t="n">
        <f aca="false">L58+((G58+C59)+J58)*(1+Předpoklady!$B$12)*Předpoklady!$B$9/12</f>
        <v>2100.50132505471</v>
      </c>
      <c r="M59" s="19" t="n">
        <f aca="false">(O58+C59)*(1+Předpoklady!$B$12)</f>
        <v>270429.838345771</v>
      </c>
      <c r="N59" s="13" t="n">
        <f aca="false">INDEX(Předpoklady!$D$18:$D$21,MATCH(M59,Předpoklady!$A$18:$A$21,1))</f>
        <v>0.007</v>
      </c>
      <c r="O59" s="19" t="n">
        <f aca="false">M59*(1-N59/12)</f>
        <v>270272.087606736</v>
      </c>
      <c r="P59" s="19" t="n">
        <f aca="false">P58+M59*N59/12</f>
        <v>4430.49911283899</v>
      </c>
    </row>
    <row r="60" customFormat="false" ht="15" hidden="false" customHeight="false" outlineLevel="0" collapsed="false">
      <c r="A60" s="18" t="n">
        <v>59</v>
      </c>
      <c r="B60" s="18" t="n">
        <f aca="false">ROUNDUP(A60/12,0)</f>
        <v>5</v>
      </c>
      <c r="C60" s="17" t="n">
        <f aca="false">Předpoklady!$B$4</f>
        <v>4000</v>
      </c>
      <c r="D60" s="19" t="n">
        <f aca="false">(F59+C60)*(1+Předpoklady!$B$12)</f>
        <v>276524.624755657</v>
      </c>
      <c r="E60" s="13" t="n">
        <f aca="false">INDEX(Předpoklady!$C$18:$C$21,MATCH(D60,Předpoklady!$A$18:$A$21,1))</f>
        <v>0.006</v>
      </c>
      <c r="F60" s="19" t="n">
        <f aca="false">D60*(1-E60/12)</f>
        <v>276386.36244328</v>
      </c>
      <c r="G60" s="19" t="n">
        <f aca="false">(G59+C60)*(1+Předpoklady!$B$12)*(1-Předpoklady!$B$9/12)</f>
        <v>278573.983150551</v>
      </c>
      <c r="H60" s="19" t="n">
        <f aca="false">IF(AND(A60&gt;12,MOD(A60,12)=Předpoklady!$B$8),Předpoklady!$B$14,0)</f>
        <v>0</v>
      </c>
      <c r="I60" s="19" t="n">
        <f aca="false">I59+H60</f>
        <v>28800</v>
      </c>
      <c r="J60" s="19" t="n">
        <f aca="false">J59*(1+Předpoklady!$B$12)*(1-Předpoklady!$B$9/12)+H60</f>
        <v>33039.0934464519</v>
      </c>
      <c r="K60" s="19" t="n">
        <f aca="false">K59+D60*E60/12</f>
        <v>3942.16687136288</v>
      </c>
      <c r="L60" s="19" t="n">
        <f aca="false">L59+((G59+C60)+J59)*(1+Předpoklady!$B$12)*Předpoklady!$B$9/12</f>
        <v>2178.42407489142</v>
      </c>
      <c r="M60" s="19" t="n">
        <f aca="false">(O59+C60)*(1+Předpoklady!$B$12)</f>
        <v>275822.861865771</v>
      </c>
      <c r="N60" s="13" t="n">
        <f aca="false">INDEX(Předpoklady!$D$18:$D$21,MATCH(M60,Předpoklady!$A$18:$A$21,1))</f>
        <v>0.007</v>
      </c>
      <c r="O60" s="19" t="n">
        <f aca="false">M60*(1-N60/12)</f>
        <v>275661.96519635</v>
      </c>
      <c r="P60" s="19" t="n">
        <f aca="false">P59+M60*N60/12</f>
        <v>4591.39578226069</v>
      </c>
    </row>
    <row r="61" customFormat="false" ht="15" hidden="false" customHeight="false" outlineLevel="0" collapsed="false">
      <c r="A61" s="18" t="n">
        <v>60</v>
      </c>
      <c r="B61" s="18" t="n">
        <f aca="false">ROUNDUP(A61/12,0)</f>
        <v>5</v>
      </c>
      <c r="C61" s="17" t="n">
        <f aca="false">Předpoklady!$B$4</f>
        <v>4000</v>
      </c>
      <c r="D61" s="19" t="n">
        <f aca="false">(F60+C61)*(1+Předpoklady!$B$12)</f>
        <v>281971.70770118</v>
      </c>
      <c r="E61" s="13" t="n">
        <f aca="false">INDEX(Předpoklady!$C$18:$C$21,MATCH(D61,Předpoklady!$A$18:$A$21,1))</f>
        <v>0.006</v>
      </c>
      <c r="F61" s="19" t="n">
        <f aca="false">D61*(1-E61/12)</f>
        <v>281830.721847329</v>
      </c>
      <c r="G61" s="19" t="n">
        <f aca="false">(G60+C61)*(1+Předpoklady!$B$12)*(1-Předpoklady!$B$9/12)</f>
        <v>284100.654609598</v>
      </c>
      <c r="H61" s="19" t="n">
        <f aca="false">IF(AND(A61&gt;12,MOD(A61,12)=Předpoklady!$B$8),Předpoklady!$B$14,0)</f>
        <v>0</v>
      </c>
      <c r="I61" s="19" t="n">
        <f aca="false">I60+H61</f>
        <v>28800</v>
      </c>
      <c r="J61" s="19" t="n">
        <f aca="false">J60*(1+Předpoklady!$B$12)*(1-Předpoklady!$B$9/12)+H61</f>
        <v>33217.5948089452</v>
      </c>
      <c r="K61" s="19" t="n">
        <f aca="false">K60+D61*E61/12</f>
        <v>4083.15272521347</v>
      </c>
      <c r="L61" s="19" t="n">
        <f aca="false">L60+((G60+C61)+J60)*(1+Předpoklady!$B$12)*Předpoklady!$B$9/12</f>
        <v>2257.77347459598</v>
      </c>
      <c r="M61" s="19" t="n">
        <f aca="false">(O60+C61)*(1+Předpoklady!$B$12)</f>
        <v>281243.214606897</v>
      </c>
      <c r="N61" s="13" t="n">
        <f aca="false">INDEX(Předpoklady!$D$18:$D$21,MATCH(M61,Předpoklady!$A$18:$A$21,1))</f>
        <v>0.007</v>
      </c>
      <c r="O61" s="19" t="n">
        <f aca="false">M61*(1-N61/12)</f>
        <v>281079.156065043</v>
      </c>
      <c r="P61" s="19" t="n">
        <f aca="false">P60+M61*N61/12</f>
        <v>4755.45432411471</v>
      </c>
    </row>
    <row r="62" customFormat="false" ht="15" hidden="false" customHeight="false" outlineLevel="0" collapsed="false">
      <c r="A62" s="18" t="n">
        <v>61</v>
      </c>
      <c r="B62" s="18" t="n">
        <f aca="false">ROUNDUP(A62/12,0)</f>
        <v>6</v>
      </c>
      <c r="C62" s="17" t="n">
        <f aca="false">Předpoklady!$B$4</f>
        <v>4000</v>
      </c>
      <c r="D62" s="19" t="n">
        <f aca="false">(F61+C62)*(1+Předpoklady!$B$12)</f>
        <v>287446.850304841</v>
      </c>
      <c r="E62" s="13" t="n">
        <f aca="false">INDEX(Předpoklady!$C$18:$C$21,MATCH(D62,Předpoklady!$A$18:$A$21,1))</f>
        <v>0.006</v>
      </c>
      <c r="F62" s="19" t="n">
        <f aca="false">D62*(1-E62/12)</f>
        <v>287303.126879688</v>
      </c>
      <c r="G62" s="19" t="n">
        <f aca="false">(G61+C62)*(1+Předpoklady!$B$12)*(1-Předpoklady!$B$9/12)</f>
        <v>289657.185192569</v>
      </c>
      <c r="H62" s="19" t="n">
        <f aca="false">IF(AND(A62&gt;12,MOD(A62,12)=Předpoklady!$B$8),Předpoklady!$B$14,0)</f>
        <v>0</v>
      </c>
      <c r="I62" s="19" t="n">
        <f aca="false">I61+H62</f>
        <v>28800</v>
      </c>
      <c r="J62" s="19" t="n">
        <f aca="false">J61*(1+Předpoklady!$B$12)*(1-Předpoklady!$B$9/12)+H62</f>
        <v>33397.060566435</v>
      </c>
      <c r="K62" s="19" t="n">
        <f aca="false">K61+D62*E62/12</f>
        <v>4226.87615036589</v>
      </c>
      <c r="L62" s="19" t="n">
        <f aca="false">L61+((G61+C62)+J61)*(1+Předpoklady!$B$12)*Předpoklady!$B$9/12</f>
        <v>2338.55723197508</v>
      </c>
      <c r="M62" s="19" t="n">
        <f aca="false">(O61+C62)*(1+Předpoklady!$B$12)</f>
        <v>286691.035060354</v>
      </c>
      <c r="N62" s="13" t="n">
        <f aca="false">INDEX(Předpoklady!$D$18:$D$21,MATCH(M62,Předpoklady!$A$18:$A$21,1))</f>
        <v>0.007</v>
      </c>
      <c r="O62" s="19" t="n">
        <f aca="false">M62*(1-N62/12)</f>
        <v>286523.798623235</v>
      </c>
      <c r="P62" s="19" t="n">
        <f aca="false">P61+M62*N62/12</f>
        <v>4922.69076123325</v>
      </c>
    </row>
    <row r="63" customFormat="false" ht="15" hidden="false" customHeight="false" outlineLevel="0" collapsed="false">
      <c r="A63" s="18" t="n">
        <v>62</v>
      </c>
      <c r="B63" s="18" t="n">
        <f aca="false">ROUNDUP(A63/12,0)</f>
        <v>6</v>
      </c>
      <c r="C63" s="17" t="n">
        <f aca="false">Předpoklady!$B$4</f>
        <v>4000</v>
      </c>
      <c r="D63" s="19" t="n">
        <f aca="false">(F62+C63)*(1+Předpoklady!$B$12)</f>
        <v>292950.197110872</v>
      </c>
      <c r="E63" s="13" t="n">
        <f aca="false">INDEX(Předpoklady!$C$18:$C$21,MATCH(D63,Předpoklady!$A$18:$A$21,1))</f>
        <v>0.006</v>
      </c>
      <c r="F63" s="19" t="n">
        <f aca="false">D63*(1-E63/12)</f>
        <v>292803.722012316</v>
      </c>
      <c r="G63" s="19" t="n">
        <f aca="false">(G62+C63)*(1+Předpoklady!$B$12)*(1-Předpoklady!$B$9/12)</f>
        <v>295243.736220301</v>
      </c>
      <c r="H63" s="19" t="n">
        <f aca="false">IF(AND(A63&gt;12,MOD(A63,12)=Předpoklady!$B$8),Předpoklady!$B$14,0)</f>
        <v>0</v>
      </c>
      <c r="I63" s="19" t="n">
        <f aca="false">I62+H63</f>
        <v>28800</v>
      </c>
      <c r="J63" s="19" t="n">
        <f aca="false">J62*(1+Předpoklady!$B$12)*(1-Předpoklady!$B$9/12)+H63</f>
        <v>33577.495929289</v>
      </c>
      <c r="K63" s="19" t="n">
        <f aca="false">K62+D63*E63/12</f>
        <v>4373.35124892133</v>
      </c>
      <c r="L63" s="19" t="n">
        <f aca="false">L62+((G62+C63)+J62)*(1+Předpoklady!$B$12)*Předpoklady!$B$9/12</f>
        <v>2420.7830964786</v>
      </c>
      <c r="M63" s="19" t="n">
        <f aca="false">(O62+C63)*(1+Předpoklady!$B$12)</f>
        <v>292166.462419152</v>
      </c>
      <c r="N63" s="13" t="n">
        <f aca="false">INDEX(Předpoklady!$D$18:$D$21,MATCH(M63,Předpoklady!$A$18:$A$21,1))</f>
        <v>0.007</v>
      </c>
      <c r="O63" s="19" t="n">
        <f aca="false">M63*(1-N63/12)</f>
        <v>291996.031982741</v>
      </c>
      <c r="P63" s="19" t="n">
        <f aca="false">P62+M63*N63/12</f>
        <v>5093.12119764443</v>
      </c>
    </row>
    <row r="64" customFormat="false" ht="15" hidden="false" customHeight="false" outlineLevel="0" collapsed="false">
      <c r="A64" s="18" t="n">
        <v>63</v>
      </c>
      <c r="B64" s="18" t="n">
        <f aca="false">ROUNDUP(A64/12,0)</f>
        <v>6</v>
      </c>
      <c r="C64" s="17" t="n">
        <f aca="false">Předpoklady!$B$4</f>
        <v>4000</v>
      </c>
      <c r="D64" s="19" t="n">
        <f aca="false">(F63+C64)*(1+Předpoklady!$B$12)</f>
        <v>298481.893408097</v>
      </c>
      <c r="E64" s="13" t="n">
        <f aca="false">INDEX(Předpoklady!$C$18:$C$21,MATCH(D64,Předpoklady!$A$18:$A$21,1))</f>
        <v>0.006</v>
      </c>
      <c r="F64" s="19" t="n">
        <f aca="false">D64*(1-E64/12)</f>
        <v>298332.652461393</v>
      </c>
      <c r="G64" s="19" t="n">
        <f aca="false">(G63+C64)*(1+Předpoklady!$B$12)*(1-Předpoklady!$B$9/12)</f>
        <v>300860.469885208</v>
      </c>
      <c r="H64" s="19" t="n">
        <f aca="false">IF(AND(A64&gt;12,MOD(A64,12)=Předpoklady!$B$8),Předpoklady!$B$14,0)</f>
        <v>0</v>
      </c>
      <c r="I64" s="19" t="n">
        <f aca="false">I63+H64</f>
        <v>28800</v>
      </c>
      <c r="J64" s="19" t="n">
        <f aca="false">J63*(1+Předpoklady!$B$12)*(1-Předpoklady!$B$9/12)+H64</f>
        <v>33758.906136025</v>
      </c>
      <c r="K64" s="19" t="n">
        <f aca="false">K63+D64*E64/12</f>
        <v>4522.59219562538</v>
      </c>
      <c r="L64" s="19" t="n">
        <f aca="false">L63+((G63+C64)+J63)*(1+Předpoklady!$B$12)*Předpoklady!$B$9/12</f>
        <v>2504.45885942465</v>
      </c>
      <c r="M64" s="19" t="n">
        <f aca="false">(O63+C64)*(1+Předpoklady!$B$12)</f>
        <v>297669.636581667</v>
      </c>
      <c r="N64" s="13" t="n">
        <f aca="false">INDEX(Předpoklady!$D$18:$D$21,MATCH(M64,Předpoklady!$A$18:$A$21,1))</f>
        <v>0.007</v>
      </c>
      <c r="O64" s="19" t="n">
        <f aca="false">M64*(1-N64/12)</f>
        <v>297495.995960327</v>
      </c>
      <c r="P64" s="19" t="n">
        <f aca="false">P63+M64*N64/12</f>
        <v>5266.76181898373</v>
      </c>
    </row>
    <row r="65" customFormat="false" ht="15" hidden="false" customHeight="false" outlineLevel="0" collapsed="false">
      <c r="A65" s="18" t="n">
        <v>64</v>
      </c>
      <c r="B65" s="18" t="n">
        <f aca="false">ROUNDUP(A65/12,0)</f>
        <v>6</v>
      </c>
      <c r="C65" s="17" t="n">
        <f aca="false">Předpoklady!$B$4</f>
        <v>4000</v>
      </c>
      <c r="D65" s="19" t="n">
        <f aca="false">(F64+C65)*(1+Předpoklady!$B$12)</f>
        <v>304042.08523377</v>
      </c>
      <c r="E65" s="13" t="n">
        <f aca="false">INDEX(Předpoklady!$C$18:$C$21,MATCH(D65,Předpoklady!$A$18:$A$21,1))</f>
        <v>0.006</v>
      </c>
      <c r="F65" s="19" t="n">
        <f aca="false">D65*(1-E65/12)</f>
        <v>303890.064191153</v>
      </c>
      <c r="G65" s="19" t="n">
        <f aca="false">(G64+C65)*(1+Předpoklady!$B$12)*(1-Předpoklady!$B$9/12)</f>
        <v>306507.549255985</v>
      </c>
      <c r="H65" s="19" t="n">
        <f aca="false">IF(AND(A65&gt;12,MOD(A65,12)=Předpoklady!$B$8),Předpoklady!$B$14,0)</f>
        <v>7200</v>
      </c>
      <c r="I65" s="19" t="n">
        <f aca="false">I64+H65</f>
        <v>36000</v>
      </c>
      <c r="J65" s="19" t="n">
        <f aca="false">J64*(1+Předpoklady!$B$12)*(1-Předpoklady!$B$9/12)+H65</f>
        <v>41141.296453463</v>
      </c>
      <c r="K65" s="19" t="n">
        <f aca="false">K64+D65*E65/12</f>
        <v>4674.61323824226</v>
      </c>
      <c r="L65" s="19" t="n">
        <f aca="false">L64+((G64+C65)+J64)*(1+Předpoklady!$B$12)*Předpoklady!$B$9/12</f>
        <v>2589.59235422571</v>
      </c>
      <c r="M65" s="19" t="n">
        <f aca="false">(O64+C65)*(1+Předpoklady!$B$12)</f>
        <v>303200.698155208</v>
      </c>
      <c r="N65" s="13" t="n">
        <f aca="false">INDEX(Předpoklady!$D$18:$D$21,MATCH(M65,Předpoklady!$A$18:$A$21,1))</f>
        <v>0.007</v>
      </c>
      <c r="O65" s="19" t="n">
        <f aca="false">M65*(1-N65/12)</f>
        <v>303023.831081284</v>
      </c>
      <c r="P65" s="19" t="n">
        <f aca="false">P64+M65*N65/12</f>
        <v>5443.6288929076</v>
      </c>
    </row>
    <row r="66" customFormat="false" ht="15" hidden="false" customHeight="false" outlineLevel="0" collapsed="false">
      <c r="A66" s="18" t="n">
        <v>65</v>
      </c>
      <c r="B66" s="18" t="n">
        <f aca="false">ROUNDUP(A66/12,0)</f>
        <v>6</v>
      </c>
      <c r="C66" s="17" t="n">
        <f aca="false">Předpoklady!$B$4</f>
        <v>4000</v>
      </c>
      <c r="D66" s="19" t="n">
        <f aca="false">(F65+C66)*(1+Předpoklady!$B$12)</f>
        <v>309630.919377427</v>
      </c>
      <c r="E66" s="13" t="n">
        <f aca="false">INDEX(Předpoklady!$C$18:$C$21,MATCH(D66,Předpoklady!$A$18:$A$21,1))</f>
        <v>0.006</v>
      </c>
      <c r="F66" s="19" t="n">
        <f aca="false">D66*(1-E66/12)</f>
        <v>309476.103917738</v>
      </c>
      <c r="G66" s="19" t="n">
        <f aca="false">(G65+C66)*(1+Předpoklady!$B$12)*(1-Předpoklady!$B$9/12)</f>
        <v>312185.138282345</v>
      </c>
      <c r="H66" s="19" t="n">
        <f aca="false">IF(AND(A66&gt;12,MOD(A66,12)=Předpoklady!$B$8),Předpoklady!$B$14,0)</f>
        <v>0</v>
      </c>
      <c r="I66" s="19" t="n">
        <f aca="false">I65+H66</f>
        <v>36000</v>
      </c>
      <c r="J66" s="19" t="n">
        <f aca="false">J65*(1+Předpoklady!$B$12)*(1-Předpoklady!$B$9/12)+H66</f>
        <v>41363.5718462059</v>
      </c>
      <c r="K66" s="19" t="n">
        <f aca="false">K65+D66*E66/12</f>
        <v>4829.42869793097</v>
      </c>
      <c r="L66" s="19" t="n">
        <f aca="false">L65+((G65+C66)+J65)*(1+Předpoklady!$B$12)*Předpoklady!$B$9/12</f>
        <v>2678.00163407781</v>
      </c>
      <c r="M66" s="19" t="n">
        <f aca="false">(O65+C66)*(1+Předpoklady!$B$12)</f>
        <v>308759.788459615</v>
      </c>
      <c r="N66" s="13" t="n">
        <f aca="false">INDEX(Předpoklady!$D$18:$D$21,MATCH(M66,Předpoklady!$A$18:$A$21,1))</f>
        <v>0.007</v>
      </c>
      <c r="O66" s="19" t="n">
        <f aca="false">M66*(1-N66/12)</f>
        <v>308579.678583014</v>
      </c>
      <c r="P66" s="19" t="n">
        <f aca="false">P65+M66*N66/12</f>
        <v>5623.73876950905</v>
      </c>
    </row>
    <row r="67" customFormat="false" ht="15" hidden="false" customHeight="false" outlineLevel="0" collapsed="false">
      <c r="A67" s="18" t="n">
        <v>66</v>
      </c>
      <c r="B67" s="18" t="n">
        <f aca="false">ROUNDUP(A67/12,0)</f>
        <v>6</v>
      </c>
      <c r="C67" s="17" t="n">
        <f aca="false">Předpoklady!$B$4</f>
        <v>4000</v>
      </c>
      <c r="D67" s="19" t="n">
        <f aca="false">(F66+C67)*(1+Předpoklady!$B$12)</f>
        <v>315248.543384767</v>
      </c>
      <c r="E67" s="13" t="n">
        <f aca="false">INDEX(Předpoklady!$C$18:$C$21,MATCH(D67,Předpoklady!$A$18:$A$21,1))</f>
        <v>0.006</v>
      </c>
      <c r="F67" s="19" t="n">
        <f aca="false">D67*(1-E67/12)</f>
        <v>315090.919113074</v>
      </c>
      <c r="G67" s="19" t="n">
        <f aca="false">(G66+C67)*(1+Předpoklady!$B$12)*(1-Předpoklady!$B$9/12)</f>
        <v>317893.401799774</v>
      </c>
      <c r="H67" s="19" t="n">
        <f aca="false">IF(AND(A67&gt;12,MOD(A67,12)=Předpoklady!$B$8),Předpoklady!$B$14,0)</f>
        <v>0</v>
      </c>
      <c r="I67" s="19" t="n">
        <f aca="false">I66+H67</f>
        <v>36000</v>
      </c>
      <c r="J67" s="19" t="n">
        <f aca="false">J66*(1+Předpoklady!$B$12)*(1-Předpoklady!$B$9/12)+H67</f>
        <v>41587.048133293</v>
      </c>
      <c r="K67" s="19" t="n">
        <f aca="false">K66+D67*E67/12</f>
        <v>4987.05296962336</v>
      </c>
      <c r="L67" s="19" t="n">
        <f aca="false">L66+((G66+C67)+J66)*(1+Předpoklady!$B$12)*Předpoklady!$B$9/12</f>
        <v>2767.89421970748</v>
      </c>
      <c r="M67" s="19" t="n">
        <f aca="false">(O66+C67)*(1+Předpoklady!$B$12)</f>
        <v>314347.049530871</v>
      </c>
      <c r="N67" s="13" t="n">
        <f aca="false">INDEX(Předpoklady!$D$18:$D$21,MATCH(M67,Předpoklady!$A$18:$A$21,1))</f>
        <v>0.007</v>
      </c>
      <c r="O67" s="19" t="n">
        <f aca="false">M67*(1-N67/12)</f>
        <v>314163.680418644</v>
      </c>
      <c r="P67" s="19" t="n">
        <f aca="false">P66+M67*N67/12</f>
        <v>5807.10788173539</v>
      </c>
    </row>
    <row r="68" customFormat="false" ht="15" hidden="false" customHeight="false" outlineLevel="0" collapsed="false">
      <c r="A68" s="18" t="n">
        <v>67</v>
      </c>
      <c r="B68" s="18" t="n">
        <f aca="false">ROUNDUP(A68/12,0)</f>
        <v>6</v>
      </c>
      <c r="C68" s="17" t="n">
        <f aca="false">Předpoklady!$B$4</f>
        <v>4000</v>
      </c>
      <c r="D68" s="19" t="n">
        <f aca="false">(F67+C68)*(1+Předpoklady!$B$12)</f>
        <v>320895.10556154</v>
      </c>
      <c r="E68" s="13" t="n">
        <f aca="false">INDEX(Předpoklady!$C$18:$C$21,MATCH(D68,Předpoklady!$A$18:$A$21,1))</f>
        <v>0.006</v>
      </c>
      <c r="F68" s="19" t="n">
        <f aca="false">D68*(1-E68/12)</f>
        <v>320734.65800876</v>
      </c>
      <c r="G68" s="19" t="n">
        <f aca="false">(G67+C68)*(1+Předpoklady!$B$12)*(1-Předpoklady!$B$9/12)</f>
        <v>323632.505534323</v>
      </c>
      <c r="H68" s="19" t="n">
        <f aca="false">IF(AND(A68&gt;12,MOD(A68,12)=Předpoklady!$B$8),Předpoklady!$B$14,0)</f>
        <v>0</v>
      </c>
      <c r="I68" s="19" t="n">
        <f aca="false">I67+H68</f>
        <v>36000</v>
      </c>
      <c r="J68" s="19" t="n">
        <f aca="false">J67*(1+Předpoklady!$B$12)*(1-Předpoklady!$B$9/12)+H68</f>
        <v>41811.7318028342</v>
      </c>
      <c r="K68" s="19" t="n">
        <f aca="false">K67+D68*E68/12</f>
        <v>5147.50052240413</v>
      </c>
      <c r="L68" s="19" t="n">
        <f aca="false">L67+((G67+C68)+J67)*(1+Předpoklady!$B$12)*Předpoklady!$B$9/12</f>
        <v>2859.2781250181</v>
      </c>
      <c r="M68" s="19" t="n">
        <f aca="false">(O67+C68)*(1+Předpoklady!$B$12)</f>
        <v>319962.624124723</v>
      </c>
      <c r="N68" s="13" t="n">
        <f aca="false">INDEX(Předpoklady!$D$18:$D$21,MATCH(M68,Předpoklady!$A$18:$A$21,1))</f>
        <v>0.007</v>
      </c>
      <c r="O68" s="19" t="n">
        <f aca="false">M68*(1-N68/12)</f>
        <v>319775.979260651</v>
      </c>
      <c r="P68" s="19" t="n">
        <f aca="false">P67+M68*N68/12</f>
        <v>5993.75274580814</v>
      </c>
    </row>
    <row r="69" customFormat="false" ht="15" hidden="false" customHeight="false" outlineLevel="0" collapsed="false">
      <c r="A69" s="18" t="n">
        <v>68</v>
      </c>
      <c r="B69" s="18" t="n">
        <f aca="false">ROUNDUP(A69/12,0)</f>
        <v>6</v>
      </c>
      <c r="C69" s="17" t="n">
        <f aca="false">Předpoklady!$B$4</f>
        <v>4000</v>
      </c>
      <c r="D69" s="19" t="n">
        <f aca="false">(F68+C69)*(1+Předpoklady!$B$12)</f>
        <v>326570.75497747</v>
      </c>
      <c r="E69" s="13" t="n">
        <f aca="false">INDEX(Předpoklady!$C$18:$C$21,MATCH(D69,Předpoklady!$A$18:$A$21,1))</f>
        <v>0.006</v>
      </c>
      <c r="F69" s="19" t="n">
        <f aca="false">D69*(1-E69/12)</f>
        <v>326407.469599982</v>
      </c>
      <c r="G69" s="19" t="n">
        <f aca="false">(G68+C69)*(1+Předpoklady!$B$12)*(1-Předpoklady!$B$9/12)</f>
        <v>329402.616107416</v>
      </c>
      <c r="H69" s="19" t="n">
        <f aca="false">IF(AND(A69&gt;12,MOD(A69,12)=Předpoklady!$B$8),Předpoklady!$B$14,0)</f>
        <v>0</v>
      </c>
      <c r="I69" s="19" t="n">
        <f aca="false">I68+H69</f>
        <v>36000</v>
      </c>
      <c r="J69" s="19" t="n">
        <f aca="false">J68*(1+Předpoklady!$B$12)*(1-Předpoklady!$B$9/12)+H69</f>
        <v>42037.6293779933</v>
      </c>
      <c r="K69" s="19" t="n">
        <f aca="false">K68+D69*E69/12</f>
        <v>5310.78589989286</v>
      </c>
      <c r="L69" s="19" t="n">
        <f aca="false">L68+((G68+C69)+J68)*(1+Předpoklady!$B$12)*Předpoklady!$B$9/12</f>
        <v>2952.16140721</v>
      </c>
      <c r="M69" s="19" t="n">
        <f aca="false">(O68+C69)*(1+Předpoklady!$B$12)</f>
        <v>325606.65572034</v>
      </c>
      <c r="N69" s="13" t="n">
        <f aca="false">INDEX(Předpoklady!$D$18:$D$21,MATCH(M69,Předpoklady!$A$18:$A$21,1))</f>
        <v>0.007</v>
      </c>
      <c r="O69" s="19" t="n">
        <f aca="false">M69*(1-N69/12)</f>
        <v>325416.718504503</v>
      </c>
      <c r="P69" s="19" t="n">
        <f aca="false">P68+M69*N69/12</f>
        <v>6183.68996164501</v>
      </c>
    </row>
    <row r="70" customFormat="false" ht="15" hidden="false" customHeight="false" outlineLevel="0" collapsed="false">
      <c r="A70" s="18" t="n">
        <v>69</v>
      </c>
      <c r="B70" s="18" t="n">
        <f aca="false">ROUNDUP(A70/12,0)</f>
        <v>6</v>
      </c>
      <c r="C70" s="17" t="n">
        <f aca="false">Předpoklady!$B$4</f>
        <v>4000</v>
      </c>
      <c r="D70" s="19" t="n">
        <f aca="false">(F69+C70)*(1+Předpoklady!$B$12)</f>
        <v>332275.641470185</v>
      </c>
      <c r="E70" s="13" t="n">
        <f aca="false">INDEX(Předpoklady!$C$18:$C$21,MATCH(D70,Předpoklady!$A$18:$A$21,1))</f>
        <v>0.006</v>
      </c>
      <c r="F70" s="19" t="n">
        <f aca="false">D70*(1-E70/12)</f>
        <v>332109.50364945</v>
      </c>
      <c r="G70" s="19" t="n">
        <f aca="false">(G69+C70)*(1+Předpoklady!$B$12)*(1-Předpoklady!$B$9/12)</f>
        <v>335203.901040685</v>
      </c>
      <c r="H70" s="19" t="n">
        <f aca="false">IF(AND(A70&gt;12,MOD(A70,12)=Předpoklady!$B$8),Předpoklady!$B$14,0)</f>
        <v>0</v>
      </c>
      <c r="I70" s="19" t="n">
        <f aca="false">I69+H70</f>
        <v>36000</v>
      </c>
      <c r="J70" s="19" t="n">
        <f aca="false">J69*(1+Předpoklady!$B$12)*(1-Předpoklady!$B$9/12)+H70</f>
        <v>42264.7474171768</v>
      </c>
      <c r="K70" s="19" t="n">
        <f aca="false">K69+D70*E70/12</f>
        <v>5476.92372062796</v>
      </c>
      <c r="L70" s="19" t="n">
        <f aca="false">L69+((G69+C70)+J69)*(1+Předpoklady!$B$12)*Předpoklady!$B$9/12</f>
        <v>3046.55216701442</v>
      </c>
      <c r="M70" s="19" t="n">
        <f aca="false">(O69+C70)*(1+Předpoklady!$B$12)</f>
        <v>331279.288523969</v>
      </c>
      <c r="N70" s="13" t="n">
        <f aca="false">INDEX(Předpoklady!$D$18:$D$21,MATCH(M70,Předpoklady!$A$18:$A$21,1))</f>
        <v>0.007</v>
      </c>
      <c r="O70" s="19" t="n">
        <f aca="false">M70*(1-N70/12)</f>
        <v>331086.04227233</v>
      </c>
      <c r="P70" s="19" t="n">
        <f aca="false">P69+M70*N70/12</f>
        <v>6376.93621328399</v>
      </c>
    </row>
    <row r="71" customFormat="false" ht="15" hidden="false" customHeight="false" outlineLevel="0" collapsed="false">
      <c r="A71" s="18" t="n">
        <v>70</v>
      </c>
      <c r="B71" s="18" t="n">
        <f aca="false">ROUNDUP(A71/12,0)</f>
        <v>6</v>
      </c>
      <c r="C71" s="17" t="n">
        <f aca="false">Předpoklady!$B$4</f>
        <v>4000</v>
      </c>
      <c r="D71" s="19" t="n">
        <f aca="false">(F70+C71)*(1+Předpoklady!$B$12)</f>
        <v>338009.915649172</v>
      </c>
      <c r="E71" s="13" t="n">
        <f aca="false">INDEX(Předpoklady!$C$18:$C$21,MATCH(D71,Předpoklady!$A$18:$A$21,1))</f>
        <v>0.006</v>
      </c>
      <c r="F71" s="19" t="n">
        <f aca="false">D71*(1-E71/12)</f>
        <v>337840.910691348</v>
      </c>
      <c r="G71" s="19" t="n">
        <f aca="false">(G70+C71)*(1+Předpoklady!$B$12)*(1-Předpoklady!$B$9/12)</f>
        <v>341036.528760841</v>
      </c>
      <c r="H71" s="19" t="n">
        <f aca="false">IF(AND(A71&gt;12,MOD(A71,12)=Předpoklady!$B$8),Předpoklady!$B$14,0)</f>
        <v>0</v>
      </c>
      <c r="I71" s="19" t="n">
        <f aca="false">I70+H71</f>
        <v>36000</v>
      </c>
      <c r="J71" s="19" t="n">
        <f aca="false">J70*(1+Předpoklady!$B$12)*(1-Předpoklady!$B$9/12)+H71</f>
        <v>42493.0925142245</v>
      </c>
      <c r="K71" s="19" t="n">
        <f aca="false">K70+D71*E71/12</f>
        <v>5645.92867845254</v>
      </c>
      <c r="L71" s="19" t="n">
        <f aca="false">L70+((G70+C71)+J70)*(1+Předpoklady!$B$12)*Předpoklady!$B$9/12</f>
        <v>3142.45854892866</v>
      </c>
      <c r="M71" s="19" t="n">
        <f aca="false">(O70+C71)*(1+Předpoklady!$B$12)</f>
        <v>336980.667472628</v>
      </c>
      <c r="N71" s="13" t="n">
        <f aca="false">INDEX(Předpoklady!$D$18:$D$21,MATCH(M71,Předpoklady!$A$18:$A$21,1))</f>
        <v>0.007</v>
      </c>
      <c r="O71" s="19" t="n">
        <f aca="false">M71*(1-N71/12)</f>
        <v>336784.095416603</v>
      </c>
      <c r="P71" s="19" t="n">
        <f aca="false">P70+M71*N71/12</f>
        <v>6573.50826930969</v>
      </c>
    </row>
    <row r="72" customFormat="false" ht="15" hidden="false" customHeight="false" outlineLevel="0" collapsed="false">
      <c r="A72" s="18" t="n">
        <v>71</v>
      </c>
      <c r="B72" s="18" t="n">
        <f aca="false">ROUNDUP(A72/12,0)</f>
        <v>6</v>
      </c>
      <c r="C72" s="17" t="n">
        <f aca="false">Předpoklady!$B$4</f>
        <v>4000</v>
      </c>
      <c r="D72" s="19" t="n">
        <f aca="false">(F71+C72)*(1+Předpoklady!$B$12)</f>
        <v>343773.72889976</v>
      </c>
      <c r="E72" s="13" t="n">
        <f aca="false">INDEX(Předpoklady!$C$18:$C$21,MATCH(D72,Předpoklady!$A$18:$A$21,1))</f>
        <v>0.006</v>
      </c>
      <c r="F72" s="19" t="n">
        <f aca="false">D72*(1-E72/12)</f>
        <v>343601.84203531</v>
      </c>
      <c r="G72" s="19" t="n">
        <f aca="false">(G71+C72)*(1+Předpoklady!$B$12)*(1-Předpoklady!$B$9/12)</f>
        <v>346900.668604556</v>
      </c>
      <c r="H72" s="19" t="n">
        <f aca="false">IF(AND(A72&gt;12,MOD(A72,12)=Předpoklady!$B$8),Předpoklady!$B$14,0)</f>
        <v>0</v>
      </c>
      <c r="I72" s="19" t="n">
        <f aca="false">I71+H72</f>
        <v>36000</v>
      </c>
      <c r="J72" s="19" t="n">
        <f aca="false">J71*(1+Předpoklady!$B$12)*(1-Předpoklady!$B$9/12)+H72</f>
        <v>42722.6712986011</v>
      </c>
      <c r="K72" s="19" t="n">
        <f aca="false">K71+D72*E72/12</f>
        <v>5817.81554290242</v>
      </c>
      <c r="L72" s="19" t="n">
        <f aca="false">L71+((G71+C72)+J71)*(1+Předpoklady!$B$12)*Předpoklady!$B$9/12</f>
        <v>3239.88874145258</v>
      </c>
      <c r="M72" s="19" t="n">
        <f aca="false">(O71+C72)*(1+Předpoklady!$B$12)</f>
        <v>342710.938237803</v>
      </c>
      <c r="N72" s="13" t="n">
        <f aca="false">INDEX(Předpoklady!$D$18:$D$21,MATCH(M72,Předpoklady!$A$18:$A$21,1))</f>
        <v>0.007</v>
      </c>
      <c r="O72" s="19" t="n">
        <f aca="false">M72*(1-N72/12)</f>
        <v>342511.023523831</v>
      </c>
      <c r="P72" s="19" t="n">
        <f aca="false">P71+M72*N72/12</f>
        <v>6773.42298328174</v>
      </c>
    </row>
    <row r="73" customFormat="false" ht="15" hidden="false" customHeight="false" outlineLevel="0" collapsed="false">
      <c r="A73" s="18" t="n">
        <v>72</v>
      </c>
      <c r="B73" s="18" t="n">
        <f aca="false">ROUNDUP(A73/12,0)</f>
        <v>6</v>
      </c>
      <c r="C73" s="17" t="n">
        <f aca="false">Předpoklady!$B$4</f>
        <v>4000</v>
      </c>
      <c r="D73" s="19" t="n">
        <f aca="false">(F72+C73)*(1+Předpoklady!$B$12)</f>
        <v>349567.233387107</v>
      </c>
      <c r="E73" s="13" t="n">
        <f aca="false">INDEX(Předpoklady!$C$18:$C$21,MATCH(D73,Předpoklady!$A$18:$A$21,1))</f>
        <v>0.006</v>
      </c>
      <c r="F73" s="19" t="n">
        <f aca="false">D73*(1-E73/12)</f>
        <v>349392.449770414</v>
      </c>
      <c r="G73" s="19" t="n">
        <f aca="false">(G72+C73)*(1+Předpoklady!$B$12)*(1-Předpoklady!$B$9/12)</f>
        <v>352796.490823384</v>
      </c>
      <c r="H73" s="19" t="n">
        <f aca="false">IF(AND(A73&gt;12,MOD(A73,12)=Předpoklady!$B$8),Předpoklady!$B$14,0)</f>
        <v>0</v>
      </c>
      <c r="I73" s="19" t="n">
        <f aca="false">I72+H73</f>
        <v>36000</v>
      </c>
      <c r="J73" s="19" t="n">
        <f aca="false">J72*(1+Předpoklady!$B$12)*(1-Předpoklady!$B$9/12)+H73</f>
        <v>42953.4904355883</v>
      </c>
      <c r="K73" s="19" t="n">
        <f aca="false">K72+D73*E73/12</f>
        <v>5992.59915959598</v>
      </c>
      <c r="L73" s="19" t="n">
        <f aca="false">L72+((G72+C73)+J72)*(1+Předpoklady!$B$12)*Předpoklady!$B$9/12</f>
        <v>3338.85097732629</v>
      </c>
      <c r="M73" s="19" t="n">
        <f aca="false">(O72+C73)*(1+Předpoklady!$B$12)</f>
        <v>348470.247229174</v>
      </c>
      <c r="N73" s="13" t="n">
        <f aca="false">INDEX(Předpoklady!$D$18:$D$21,MATCH(M73,Předpoklady!$A$18:$A$21,1))</f>
        <v>0.007</v>
      </c>
      <c r="O73" s="19" t="n">
        <f aca="false">M73*(1-N73/12)</f>
        <v>348266.97291829</v>
      </c>
      <c r="P73" s="19" t="n">
        <f aca="false">P72+M73*N73/12</f>
        <v>6976.69729416542</v>
      </c>
    </row>
    <row r="74" customFormat="false" ht="15" hidden="false" customHeight="false" outlineLevel="0" collapsed="false">
      <c r="A74" s="18" t="n">
        <v>73</v>
      </c>
      <c r="B74" s="18" t="n">
        <f aca="false">ROUNDUP(A74/12,0)</f>
        <v>7</v>
      </c>
      <c r="C74" s="17" t="n">
        <f aca="false">Předpoklady!$B$4</f>
        <v>4000</v>
      </c>
      <c r="D74" s="19" t="n">
        <f aca="false">(F73+C74)*(1+Předpoklady!$B$12)</f>
        <v>355390.582060227</v>
      </c>
      <c r="E74" s="13" t="n">
        <f aca="false">INDEX(Předpoklady!$C$18:$C$21,MATCH(D74,Předpoklady!$A$18:$A$21,1))</f>
        <v>0.006</v>
      </c>
      <c r="F74" s="19" t="n">
        <f aca="false">D74*(1-E74/12)</f>
        <v>355212.886769197</v>
      </c>
      <c r="G74" s="19" t="n">
        <f aca="false">(G73+C74)*(1+Předpoklady!$B$12)*(1-Předpoklady!$B$9/12)</f>
        <v>358724.166588701</v>
      </c>
      <c r="H74" s="19" t="n">
        <f aca="false">IF(AND(A74&gt;12,MOD(A74,12)=Předpoklady!$B$8),Předpoklady!$B$14,0)</f>
        <v>0</v>
      </c>
      <c r="I74" s="19" t="n">
        <f aca="false">I73+H74</f>
        <v>36000</v>
      </c>
      <c r="J74" s="19" t="n">
        <f aca="false">J73*(1+Předpoklady!$B$12)*(1-Předpoklady!$B$9/12)+H74</f>
        <v>43185.5566264788</v>
      </c>
      <c r="K74" s="19" t="n">
        <f aca="false">K73+D74*E74/12</f>
        <v>6170.29445062609</v>
      </c>
      <c r="L74" s="19" t="n">
        <f aca="false">L73+((G73+C74)+J73)*(1+Předpoklady!$B$12)*Předpoklady!$B$9/12</f>
        <v>3439.3535337692</v>
      </c>
      <c r="M74" s="19" t="n">
        <f aca="false">(O73+C74)*(1+Předpoklady!$B$12)</f>
        <v>354258.741598351</v>
      </c>
      <c r="N74" s="13" t="n">
        <f aca="false">INDEX(Předpoklady!$D$18:$D$21,MATCH(M74,Předpoklady!$A$18:$A$21,1))</f>
        <v>0.007</v>
      </c>
      <c r="O74" s="19" t="n">
        <f aca="false">M74*(1-N74/12)</f>
        <v>354052.090665752</v>
      </c>
      <c r="P74" s="19" t="n">
        <f aca="false">P73+M74*N74/12</f>
        <v>7183.34822676446</v>
      </c>
    </row>
    <row r="75" customFormat="false" ht="15" hidden="false" customHeight="false" outlineLevel="0" collapsed="false">
      <c r="A75" s="18" t="n">
        <v>74</v>
      </c>
      <c r="B75" s="18" t="n">
        <f aca="false">ROUNDUP(A75/12,0)</f>
        <v>7</v>
      </c>
      <c r="C75" s="17" t="n">
        <f aca="false">Předpoklady!$B$4</f>
        <v>4000</v>
      </c>
      <c r="D75" s="19" t="n">
        <f aca="false">(F74+C75)*(1+Předpoklady!$B$12)</f>
        <v>361243.928656019</v>
      </c>
      <c r="E75" s="13" t="n">
        <f aca="false">INDEX(Předpoklady!$C$18:$C$21,MATCH(D75,Předpoklady!$A$18:$A$21,1))</f>
        <v>0.006</v>
      </c>
      <c r="F75" s="19" t="n">
        <f aca="false">D75*(1-E75/12)</f>
        <v>361063.306691691</v>
      </c>
      <c r="G75" s="19" t="n">
        <f aca="false">(G74+C75)*(1+Předpoklady!$B$12)*(1-Předpoklady!$B$9/12)</f>
        <v>364683.867996678</v>
      </c>
      <c r="H75" s="19" t="n">
        <f aca="false">IF(AND(A75&gt;12,MOD(A75,12)=Předpoklady!$B$8),Předpoklady!$B$14,0)</f>
        <v>0</v>
      </c>
      <c r="I75" s="19" t="n">
        <f aca="false">I74+H75</f>
        <v>36000</v>
      </c>
      <c r="J75" s="19" t="n">
        <f aca="false">J74*(1+Předpoklady!$B$12)*(1-Předpoklady!$B$9/12)+H75</f>
        <v>43418.8766087704</v>
      </c>
      <c r="K75" s="19" t="n">
        <f aca="false">K74+D75*E75/12</f>
        <v>6350.9164149541</v>
      </c>
      <c r="L75" s="19" t="n">
        <f aca="false">L74+((G74+C75)+J74)*(1+Předpoklady!$B$12)*Předpoklady!$B$9/12</f>
        <v>3541.4047327203</v>
      </c>
      <c r="M75" s="19" t="n">
        <f aca="false">(O74+C75)*(1+Předpoklady!$B$12)</f>
        <v>360076.569242641</v>
      </c>
      <c r="N75" s="13" t="n">
        <f aca="false">INDEX(Předpoklady!$D$18:$D$21,MATCH(M75,Předpoklady!$A$18:$A$21,1))</f>
        <v>0.007</v>
      </c>
      <c r="O75" s="19" t="n">
        <f aca="false">M75*(1-N75/12)</f>
        <v>359866.524577249</v>
      </c>
      <c r="P75" s="19" t="n">
        <f aca="false">P74+M75*N75/12</f>
        <v>7393.392892156</v>
      </c>
    </row>
    <row r="76" customFormat="false" ht="15" hidden="false" customHeight="false" outlineLevel="0" collapsed="false">
      <c r="A76" s="18" t="n">
        <v>75</v>
      </c>
      <c r="B76" s="18" t="n">
        <f aca="false">ROUNDUP(A76/12,0)</f>
        <v>7</v>
      </c>
      <c r="C76" s="17" t="n">
        <f aca="false">Předpoklady!$B$4</f>
        <v>4000</v>
      </c>
      <c r="D76" s="19" t="n">
        <f aca="false">(F75+C76)*(1+Předpoklady!$B$12)</f>
        <v>367127.427703333</v>
      </c>
      <c r="E76" s="13" t="n">
        <f aca="false">INDEX(Předpoklady!$C$18:$C$21,MATCH(D76,Předpoklady!$A$18:$A$21,1))</f>
        <v>0.006</v>
      </c>
      <c r="F76" s="19" t="n">
        <f aca="false">D76*(1-E76/12)</f>
        <v>366943.863989482</v>
      </c>
      <c r="G76" s="19" t="n">
        <f aca="false">(G75+C76)*(1+Předpoklady!$B$12)*(1-Předpoklady!$B$9/12)</f>
        <v>370675.768073275</v>
      </c>
      <c r="H76" s="19" t="n">
        <f aca="false">IF(AND(A76&gt;12,MOD(A76,12)=Předpoklady!$B$8),Předpoklady!$B$14,0)</f>
        <v>0</v>
      </c>
      <c r="I76" s="19" t="n">
        <f aca="false">I75+H76</f>
        <v>36000</v>
      </c>
      <c r="J76" s="19" t="n">
        <f aca="false">J75*(1+Předpoklady!$B$12)*(1-Předpoklady!$B$9/12)+H76</f>
        <v>43653.4571563618</v>
      </c>
      <c r="K76" s="19" t="n">
        <f aca="false">K75+D76*E76/12</f>
        <v>6534.48012880577</v>
      </c>
      <c r="L76" s="19" t="n">
        <f aca="false">L75+((G75+C76)+J75)*(1+Předpoklady!$B$12)*Předpoklady!$B$9/12</f>
        <v>3645.0129410798</v>
      </c>
      <c r="M76" s="19" t="n">
        <f aca="false">(O75+C76)*(1+Předpoklady!$B$12)</f>
        <v>365923.878808819</v>
      </c>
      <c r="N76" s="13" t="n">
        <f aca="false">INDEX(Předpoklady!$D$18:$D$21,MATCH(M76,Předpoklady!$A$18:$A$21,1))</f>
        <v>0.007</v>
      </c>
      <c r="O76" s="19" t="n">
        <f aca="false">M76*(1-N76/12)</f>
        <v>365710.423212847</v>
      </c>
      <c r="P76" s="19" t="n">
        <f aca="false">P75+M76*N76/12</f>
        <v>7606.84848812781</v>
      </c>
    </row>
    <row r="77" customFormat="false" ht="15" hidden="false" customHeight="false" outlineLevel="0" collapsed="false">
      <c r="A77" s="18" t="n">
        <v>76</v>
      </c>
      <c r="B77" s="18" t="n">
        <f aca="false">ROUNDUP(A77/12,0)</f>
        <v>7</v>
      </c>
      <c r="C77" s="17" t="n">
        <f aca="false">Předpoklady!$B$4</f>
        <v>4000</v>
      </c>
      <c r="D77" s="19" t="n">
        <f aca="false">(F76+C77)*(1+Předpoklady!$B$12)</f>
        <v>373041.234527044</v>
      </c>
      <c r="E77" s="13" t="n">
        <f aca="false">INDEX(Předpoklady!$C$18:$C$21,MATCH(D77,Předpoklady!$A$18:$A$21,1))</f>
        <v>0.006</v>
      </c>
      <c r="F77" s="19" t="n">
        <f aca="false">D77*(1-E77/12)</f>
        <v>372854.71390978</v>
      </c>
      <c r="G77" s="19" t="n">
        <f aca="false">(G76+C77)*(1+Předpoklady!$B$12)*(1-Předpoklady!$B$9/12)</f>
        <v>376700.040779265</v>
      </c>
      <c r="H77" s="19" t="n">
        <f aca="false">IF(AND(A77&gt;12,MOD(A77,12)=Předpoklady!$B$8),Předpoklady!$B$14,0)</f>
        <v>7200</v>
      </c>
      <c r="I77" s="19" t="n">
        <f aca="false">I76+H77</f>
        <v>43200</v>
      </c>
      <c r="J77" s="19" t="n">
        <f aca="false">J76*(1+Předpoklady!$B$12)*(1-Předpoklady!$B$9/12)+H77</f>
        <v>51089.3050797493</v>
      </c>
      <c r="K77" s="19" t="n">
        <f aca="false">K76+D77*E77/12</f>
        <v>6721.00074606929</v>
      </c>
      <c r="L77" s="19" t="n">
        <f aca="false">L76+((G76+C77)+J76)*(1+Předpoklady!$B$12)*Předpoklady!$B$9/12</f>
        <v>3750.18657095202</v>
      </c>
      <c r="M77" s="19" t="n">
        <f aca="false">(O76+C77)*(1+Předpoklady!$B$12)</f>
        <v>371800.819696931</v>
      </c>
      <c r="N77" s="13" t="n">
        <f aca="false">INDEX(Předpoklady!$D$18:$D$21,MATCH(M77,Předpoklady!$A$18:$A$21,1))</f>
        <v>0.007</v>
      </c>
      <c r="O77" s="19" t="n">
        <f aca="false">M77*(1-N77/12)</f>
        <v>371583.935885441</v>
      </c>
      <c r="P77" s="19" t="n">
        <f aca="false">P76+M77*N77/12</f>
        <v>7823.73229961769</v>
      </c>
    </row>
    <row r="78" customFormat="false" ht="15" hidden="false" customHeight="false" outlineLevel="0" collapsed="false">
      <c r="A78" s="18" t="n">
        <v>77</v>
      </c>
      <c r="B78" s="18" t="n">
        <f aca="false">ROUNDUP(A78/12,0)</f>
        <v>7</v>
      </c>
      <c r="C78" s="17" t="n">
        <f aca="false">Předpoklady!$B$4</f>
        <v>4000</v>
      </c>
      <c r="D78" s="19" t="n">
        <f aca="false">(F77+C78)*(1+Předpoklady!$B$12)</f>
        <v>378985.505252155</v>
      </c>
      <c r="E78" s="13" t="n">
        <f aca="false">INDEX(Předpoklady!$C$18:$C$21,MATCH(D78,Předpoklady!$A$18:$A$21,1))</f>
        <v>0.006</v>
      </c>
      <c r="F78" s="19" t="n">
        <f aca="false">D78*(1-E78/12)</f>
        <v>378796.012499529</v>
      </c>
      <c r="G78" s="19" t="n">
        <f aca="false">(G77+C78)*(1+Předpoklady!$B$12)*(1-Předpoklady!$B$9/12)</f>
        <v>382756.861015282</v>
      </c>
      <c r="H78" s="19" t="n">
        <f aca="false">IF(AND(A78&gt;12,MOD(A78,12)=Předpoklady!$B$8),Předpoklady!$B$14,0)</f>
        <v>0</v>
      </c>
      <c r="I78" s="19" t="n">
        <f aca="false">I77+H78</f>
        <v>43200</v>
      </c>
      <c r="J78" s="19" t="n">
        <f aca="false">J77*(1+Předpoklady!$B$12)*(1-Předpoklady!$B$9/12)+H78</f>
        <v>51365.3268955521</v>
      </c>
      <c r="K78" s="19" t="n">
        <f aca="false">K77+D78*E78/12</f>
        <v>6910.49349869537</v>
      </c>
      <c r="L78" s="19" t="n">
        <f aca="false">L77+((G77+C78)+J77)*(1+Předpoklady!$B$12)*Předpoklady!$B$9/12</f>
        <v>3858.74425735133</v>
      </c>
      <c r="M78" s="19" t="n">
        <f aca="false">(O77+C78)*(1+Předpoklady!$B$12)</f>
        <v>377707.542064112</v>
      </c>
      <c r="N78" s="13" t="n">
        <f aca="false">INDEX(Předpoklady!$D$18:$D$21,MATCH(M78,Předpoklady!$A$18:$A$21,1))</f>
        <v>0.007</v>
      </c>
      <c r="O78" s="19" t="n">
        <f aca="false">M78*(1-N78/12)</f>
        <v>377487.212664574</v>
      </c>
      <c r="P78" s="19" t="n">
        <f aca="false">P77+M78*N78/12</f>
        <v>8044.06169915509</v>
      </c>
    </row>
    <row r="79" customFormat="false" ht="15" hidden="false" customHeight="false" outlineLevel="0" collapsed="false">
      <c r="A79" s="18" t="n">
        <v>78</v>
      </c>
      <c r="B79" s="18" t="n">
        <f aca="false">ROUNDUP(A79/12,0)</f>
        <v>7</v>
      </c>
      <c r="C79" s="17" t="n">
        <f aca="false">Předpoklady!$B$4</f>
        <v>4000</v>
      </c>
      <c r="D79" s="19" t="n">
        <f aca="false">(F78+C79)*(1+Předpoklady!$B$12)</f>
        <v>384960.396807921</v>
      </c>
      <c r="E79" s="13" t="n">
        <f aca="false">INDEX(Předpoklady!$C$18:$C$21,MATCH(D79,Předpoklady!$A$18:$A$21,1))</f>
        <v>0.006</v>
      </c>
      <c r="F79" s="19" t="n">
        <f aca="false">D79*(1-E79/12)</f>
        <v>384767.916609517</v>
      </c>
      <c r="G79" s="19" t="n">
        <f aca="false">(G78+C79)*(1+Předpoklady!$B$12)*(1-Předpoklady!$B$9/12)</f>
        <v>388846.404626905</v>
      </c>
      <c r="H79" s="19" t="n">
        <f aca="false">IF(AND(A79&gt;12,MOD(A79,12)=Předpoklady!$B$8),Předpoklady!$B$14,0)</f>
        <v>0</v>
      </c>
      <c r="I79" s="19" t="n">
        <f aca="false">I78+H79</f>
        <v>43200</v>
      </c>
      <c r="J79" s="19" t="n">
        <f aca="false">J78*(1+Předpoklady!$B$12)*(1-Předpoklady!$B$9/12)+H79</f>
        <v>51642.8399832107</v>
      </c>
      <c r="K79" s="19" t="n">
        <f aca="false">K78+D79*E79/12</f>
        <v>7102.97369709933</v>
      </c>
      <c r="L79" s="19" t="n">
        <f aca="false">L78+((G78+C79)+J78)*(1+Předpoklady!$B$12)*Předpoklady!$B$9/12</f>
        <v>3968.89410596601</v>
      </c>
      <c r="M79" s="19" t="n">
        <f aca="false">(O78+C79)*(1+Předpoklady!$B$12)</f>
        <v>383644.196828416</v>
      </c>
      <c r="N79" s="13" t="n">
        <f aca="false">INDEX(Předpoklady!$D$18:$D$21,MATCH(M79,Předpoklady!$A$18:$A$21,1))</f>
        <v>0.007</v>
      </c>
      <c r="O79" s="19" t="n">
        <f aca="false">M79*(1-N79/12)</f>
        <v>383420.404380266</v>
      </c>
      <c r="P79" s="19" t="n">
        <f aca="false">P78+M79*N79/12</f>
        <v>8267.854147305</v>
      </c>
    </row>
    <row r="80" customFormat="false" ht="15" hidden="false" customHeight="false" outlineLevel="0" collapsed="false">
      <c r="A80" s="18" t="n">
        <v>79</v>
      </c>
      <c r="B80" s="18" t="n">
        <f aca="false">ROUNDUP(A80/12,0)</f>
        <v>7</v>
      </c>
      <c r="C80" s="17" t="n">
        <f aca="false">Předpoklady!$B$4</f>
        <v>4000</v>
      </c>
      <c r="D80" s="19" t="n">
        <f aca="false">(F79+C80)*(1+Předpoklady!$B$12)</f>
        <v>390966.066931986</v>
      </c>
      <c r="E80" s="13" t="n">
        <f aca="false">INDEX(Předpoklady!$C$18:$C$21,MATCH(D80,Předpoklady!$A$18:$A$21,1))</f>
        <v>0.006</v>
      </c>
      <c r="F80" s="19" t="n">
        <f aca="false">D80*(1-E80/12)</f>
        <v>390770.58389852</v>
      </c>
      <c r="G80" s="19" t="n">
        <f aca="false">(G79+C80)*(1+Předpoklady!$B$12)*(1-Předpoklady!$B$9/12)</f>
        <v>394968.848409756</v>
      </c>
      <c r="H80" s="19" t="n">
        <f aca="false">IF(AND(A80&gt;12,MOD(A80,12)=Předpoklady!$B$8),Předpoklady!$B$14,0)</f>
        <v>0</v>
      </c>
      <c r="I80" s="19" t="n">
        <f aca="false">I79+H80</f>
        <v>43200</v>
      </c>
      <c r="J80" s="19" t="n">
        <f aca="false">J79*(1+Předpoklady!$B$12)*(1-Předpoklady!$B$9/12)+H80</f>
        <v>51921.8523996671</v>
      </c>
      <c r="K80" s="19" t="n">
        <f aca="false">K79+D80*E80/12</f>
        <v>7298.45673056532</v>
      </c>
      <c r="L80" s="19" t="n">
        <f aca="false">L79+((G79+C80)+J79)*(1+Předpoklady!$B$12)*Předpoklady!$B$9/12</f>
        <v>4080.64471882158</v>
      </c>
      <c r="M80" s="19" t="n">
        <f aca="false">(O79+C80)*(1+Předpoklady!$B$12)</f>
        <v>389610.935672679</v>
      </c>
      <c r="N80" s="13" t="n">
        <f aca="false">INDEX(Předpoklady!$D$18:$D$21,MATCH(M80,Předpoklady!$A$18:$A$21,1))</f>
        <v>0.007</v>
      </c>
      <c r="O80" s="19" t="n">
        <f aca="false">M80*(1-N80/12)</f>
        <v>389383.66262687</v>
      </c>
      <c r="P80" s="19" t="n">
        <f aca="false">P79+M80*N80/12</f>
        <v>8495.12719311406</v>
      </c>
    </row>
    <row r="81" customFormat="false" ht="15" hidden="false" customHeight="false" outlineLevel="0" collapsed="false">
      <c r="A81" s="18" t="n">
        <v>80</v>
      </c>
      <c r="B81" s="18" t="n">
        <f aca="false">ROUNDUP(A81/12,0)</f>
        <v>7</v>
      </c>
      <c r="C81" s="17" t="n">
        <f aca="false">Předpoklady!$B$4</f>
        <v>4000</v>
      </c>
      <c r="D81" s="19" t="n">
        <f aca="false">(F80+C81)*(1+Předpoklady!$B$12)</f>
        <v>397002.674174553</v>
      </c>
      <c r="E81" s="13" t="n">
        <f aca="false">INDEX(Předpoklady!$C$18:$C$21,MATCH(D81,Předpoklady!$A$18:$A$21,1))</f>
        <v>0.006</v>
      </c>
      <c r="F81" s="19" t="n">
        <f aca="false">D81*(1-E81/12)</f>
        <v>396804.172837465</v>
      </c>
      <c r="G81" s="19" t="n">
        <f aca="false">(G80+C81)*(1+Předpoklady!$B$12)*(1-Předpoklady!$B$9/12)</f>
        <v>401124.37011464</v>
      </c>
      <c r="H81" s="19" t="n">
        <f aca="false">IF(AND(A81&gt;12,MOD(A81,12)=Předpoklady!$B$8),Předpoklady!$B$14,0)</f>
        <v>0</v>
      </c>
      <c r="I81" s="19" t="n">
        <f aca="false">I80+H81</f>
        <v>43200</v>
      </c>
      <c r="J81" s="19" t="n">
        <f aca="false">J80*(1+Předpoklady!$B$12)*(1-Předpoklady!$B$9/12)+H81</f>
        <v>52202.3722453928</v>
      </c>
      <c r="K81" s="19" t="n">
        <f aca="false">K80+D81*E81/12</f>
        <v>7496.9580676526</v>
      </c>
      <c r="L81" s="19" t="n">
        <f aca="false">L80+((G80+C81)+J80)*(1+Předpoklady!$B$12)*Předpoklady!$B$9/12</f>
        <v>4194.00474441799</v>
      </c>
      <c r="M81" s="19" t="n">
        <f aca="false">(O80+C81)*(1+Předpoklady!$B$12)</f>
        <v>395607.911048392</v>
      </c>
      <c r="N81" s="13" t="n">
        <f aca="false">INDEX(Předpoklady!$D$18:$D$21,MATCH(M81,Předpoklady!$A$18:$A$21,1))</f>
        <v>0.007</v>
      </c>
      <c r="O81" s="19" t="n">
        <f aca="false">M81*(1-N81/12)</f>
        <v>395377.139766948</v>
      </c>
      <c r="P81" s="19" t="n">
        <f aca="false">P80+M81*N81/12</f>
        <v>8725.89847455896</v>
      </c>
    </row>
    <row r="82" customFormat="false" ht="15" hidden="false" customHeight="false" outlineLevel="0" collapsed="false">
      <c r="A82" s="18" t="n">
        <v>81</v>
      </c>
      <c r="B82" s="18" t="n">
        <f aca="false">ROUNDUP(A82/12,0)</f>
        <v>7</v>
      </c>
      <c r="C82" s="17" t="n">
        <f aca="false">Předpoklady!$B$4</f>
        <v>4000</v>
      </c>
      <c r="D82" s="19" t="n">
        <f aca="false">(F81+C82)*(1+Předpoklady!$B$12)</f>
        <v>403070.377902567</v>
      </c>
      <c r="E82" s="13" t="n">
        <f aca="false">INDEX(Předpoklady!$C$18:$C$21,MATCH(D82,Předpoklady!$A$18:$A$21,1))</f>
        <v>0.006</v>
      </c>
      <c r="F82" s="19" t="n">
        <f aca="false">D82*(1-E82/12)</f>
        <v>402868.842713616</v>
      </c>
      <c r="G82" s="19" t="n">
        <f aca="false">(G81+C82)*(1+Předpoklady!$B$12)*(1-Předpoklady!$B$9/12)</f>
        <v>407313.148452698</v>
      </c>
      <c r="H82" s="19" t="n">
        <f aca="false">IF(AND(A82&gt;12,MOD(A82,12)=Předpoklady!$B$8),Předpoklady!$B$14,0)</f>
        <v>0</v>
      </c>
      <c r="I82" s="19" t="n">
        <f aca="false">I81+H82</f>
        <v>43200</v>
      </c>
      <c r="J82" s="19" t="n">
        <f aca="false">J81*(1+Předpoklady!$B$12)*(1-Předpoklady!$B$9/12)+H82</f>
        <v>52484.4076646237</v>
      </c>
      <c r="K82" s="19" t="n">
        <f aca="false">K81+D82*E82/12</f>
        <v>7698.49325660388</v>
      </c>
      <c r="L82" s="19" t="n">
        <f aca="false">L81+((G81+C82)+J81)*(1+Předpoklady!$B$12)*Předpoklady!$B$9/12</f>
        <v>4308.98287798071</v>
      </c>
      <c r="M82" s="19" t="n">
        <f aca="false">(O81+C82)*(1+Předpoklady!$B$12)</f>
        <v>401635.276179596</v>
      </c>
      <c r="N82" s="13" t="n">
        <f aca="false">INDEX(Předpoklady!$D$18:$D$21,MATCH(M82,Předpoklady!$A$18:$A$21,1))</f>
        <v>0.007</v>
      </c>
      <c r="O82" s="19" t="n">
        <f aca="false">M82*(1-N82/12)</f>
        <v>401400.988935158</v>
      </c>
      <c r="P82" s="19" t="n">
        <f aca="false">P81+M82*N82/12</f>
        <v>8960.18571899705</v>
      </c>
    </row>
    <row r="83" customFormat="false" ht="15" hidden="false" customHeight="false" outlineLevel="0" collapsed="false">
      <c r="A83" s="18" t="n">
        <v>82</v>
      </c>
      <c r="B83" s="18" t="n">
        <f aca="false">ROUNDUP(A83/12,0)</f>
        <v>7</v>
      </c>
      <c r="C83" s="17" t="n">
        <f aca="false">Předpoklady!$B$4</f>
        <v>4000</v>
      </c>
      <c r="D83" s="19" t="n">
        <f aca="false">(F82+C83)*(1+Předpoklady!$B$12)</f>
        <v>409169.338303924</v>
      </c>
      <c r="E83" s="13" t="n">
        <f aca="false">INDEX(Předpoklady!$C$18:$C$21,MATCH(D83,Předpoklady!$A$18:$A$21,1))</f>
        <v>0.006</v>
      </c>
      <c r="F83" s="19" t="n">
        <f aca="false">D83*(1-E83/12)</f>
        <v>408964.753634772</v>
      </c>
      <c r="G83" s="19" t="n">
        <f aca="false">(G82+C83)*(1+Předpoklady!$B$12)*(1-Předpoklady!$B$9/12)</f>
        <v>413535.363100603</v>
      </c>
      <c r="H83" s="19" t="n">
        <f aca="false">IF(AND(A83&gt;12,MOD(A83,12)=Předpoklady!$B$8),Předpoklady!$B$14,0)</f>
        <v>0</v>
      </c>
      <c r="I83" s="19" t="n">
        <f aca="false">I82+H83</f>
        <v>43200</v>
      </c>
      <c r="J83" s="19" t="n">
        <f aca="false">J82*(1+Předpoklady!$B$12)*(1-Předpoklady!$B$9/12)+H83</f>
        <v>52767.9668455973</v>
      </c>
      <c r="K83" s="19" t="n">
        <f aca="false">K82+D83*E83/12</f>
        <v>7903.07792575584</v>
      </c>
      <c r="L83" s="19" t="n">
        <f aca="false">L82+((G82+C83)+J82)*(1+Předpoklady!$B$12)*Předpoklady!$B$9/12</f>
        <v>4425.58786171319</v>
      </c>
      <c r="M83" s="19" t="n">
        <f aca="false">(O82+C83)*(1+Předpoklady!$B$12)</f>
        <v>407693.185066795</v>
      </c>
      <c r="N83" s="13" t="n">
        <f aca="false">INDEX(Předpoklady!$D$18:$D$21,MATCH(M83,Předpoklady!$A$18:$A$21,1))</f>
        <v>0.007</v>
      </c>
      <c r="O83" s="19" t="n">
        <f aca="false">M83*(1-N83/12)</f>
        <v>407455.364042173</v>
      </c>
      <c r="P83" s="19" t="n">
        <f aca="false">P82+M83*N83/12</f>
        <v>9198.00674361935</v>
      </c>
    </row>
    <row r="84" customFormat="false" ht="15" hidden="false" customHeight="false" outlineLevel="0" collapsed="false">
      <c r="A84" s="18" t="n">
        <v>83</v>
      </c>
      <c r="B84" s="18" t="n">
        <f aca="false">ROUNDUP(A84/12,0)</f>
        <v>7</v>
      </c>
      <c r="C84" s="17" t="n">
        <f aca="false">Předpoklady!$B$4</f>
        <v>4000</v>
      </c>
      <c r="D84" s="19" t="n">
        <f aca="false">(F83+C84)*(1+Předpoklady!$B$12)</f>
        <v>415299.716391697</v>
      </c>
      <c r="E84" s="13" t="n">
        <f aca="false">INDEX(Předpoklady!$C$18:$C$21,MATCH(D84,Předpoklady!$A$18:$A$21,1))</f>
        <v>0.006</v>
      </c>
      <c r="F84" s="19" t="n">
        <f aca="false">D84*(1-E84/12)</f>
        <v>415092.066533501</v>
      </c>
      <c r="G84" s="19" t="n">
        <f aca="false">(G83+C84)*(1+Předpoklady!$B$12)*(1-Předpoklady!$B$9/12)</f>
        <v>419791.19470577</v>
      </c>
      <c r="H84" s="19" t="n">
        <f aca="false">IF(AND(A84&gt;12,MOD(A84,12)=Předpoklady!$B$8),Předpoklady!$B$14,0)</f>
        <v>0</v>
      </c>
      <c r="I84" s="19" t="n">
        <f aca="false">I83+H84</f>
        <v>43200</v>
      </c>
      <c r="J84" s="19" t="n">
        <f aca="false">J83*(1+Předpoklady!$B$12)*(1-Předpoklady!$B$9/12)+H84</f>
        <v>53053.0580207897</v>
      </c>
      <c r="K84" s="19" t="n">
        <f aca="false">K83+D84*E84/12</f>
        <v>8110.72778395169</v>
      </c>
      <c r="L84" s="19" t="n">
        <f aca="false">L83+((G83+C84)+J83)*(1+Předpoklady!$B$12)*Předpoklady!$B$9/12</f>
        <v>4543.82848505067</v>
      </c>
      <c r="M84" s="19" t="n">
        <f aca="false">(O83+C84)*(1+Předpoklady!$B$12)</f>
        <v>413781.792490895</v>
      </c>
      <c r="N84" s="13" t="n">
        <f aca="false">INDEX(Předpoklady!$D$18:$D$21,MATCH(M84,Předpoklady!$A$18:$A$21,1))</f>
        <v>0.007</v>
      </c>
      <c r="O84" s="19" t="n">
        <f aca="false">M84*(1-N84/12)</f>
        <v>413540.419778609</v>
      </c>
      <c r="P84" s="19" t="n">
        <f aca="false">P83+M84*N84/12</f>
        <v>9439.3794559057</v>
      </c>
    </row>
    <row r="85" customFormat="false" ht="15" hidden="false" customHeight="false" outlineLevel="0" collapsed="false">
      <c r="A85" s="18" t="n">
        <v>84</v>
      </c>
      <c r="B85" s="18" t="n">
        <f aca="false">ROUNDUP(A85/12,0)</f>
        <v>7</v>
      </c>
      <c r="C85" s="17" t="n">
        <f aca="false">Předpoklady!$B$4</f>
        <v>4000</v>
      </c>
      <c r="D85" s="19" t="n">
        <f aca="false">(F84+C85)*(1+Předpoklady!$B$12)</f>
        <v>421461.67400839</v>
      </c>
      <c r="E85" s="13" t="n">
        <f aca="false">INDEX(Předpoklady!$C$18:$C$21,MATCH(D85,Předpoklady!$A$18:$A$21,1))</f>
        <v>0.006</v>
      </c>
      <c r="F85" s="19" t="n">
        <f aca="false">D85*(1-E85/12)</f>
        <v>421250.943171386</v>
      </c>
      <c r="G85" s="19" t="n">
        <f aca="false">(G84+C85)*(1+Předpoklady!$B$12)*(1-Předpoklady!$B$9/12)</f>
        <v>426080.824891605</v>
      </c>
      <c r="H85" s="19" t="n">
        <f aca="false">IF(AND(A85&gt;12,MOD(A85,12)=Předpoklady!$B$8),Předpoklady!$B$14,0)</f>
        <v>0</v>
      </c>
      <c r="I85" s="19" t="n">
        <f aca="false">I84+H85</f>
        <v>43200</v>
      </c>
      <c r="J85" s="19" t="n">
        <f aca="false">J84*(1+Předpoklady!$B$12)*(1-Předpoklady!$B$9/12)+H85</f>
        <v>53339.6894671546</v>
      </c>
      <c r="K85" s="19" t="n">
        <f aca="false">K84+D85*E85/12</f>
        <v>8321.45862095588</v>
      </c>
      <c r="L85" s="19" t="n">
        <f aca="false">L84+((G84+C85)+J84)*(1+Předpoklady!$B$12)*Předpoklady!$B$9/12</f>
        <v>4663.71358491532</v>
      </c>
      <c r="M85" s="19" t="n">
        <f aca="false">(O84+C85)*(1+Předpoklady!$B$12)</f>
        <v>419901.254017155</v>
      </c>
      <c r="N85" s="13" t="n">
        <f aca="false">INDEX(Předpoklady!$D$18:$D$21,MATCH(M85,Předpoklady!$A$18:$A$21,1))</f>
        <v>0.007</v>
      </c>
      <c r="O85" s="19" t="n">
        <f aca="false">M85*(1-N85/12)</f>
        <v>419656.311618978</v>
      </c>
      <c r="P85" s="19" t="n">
        <f aca="false">P84+M85*N85/12</f>
        <v>9684.32185408238</v>
      </c>
    </row>
    <row r="86" customFormat="false" ht="15" hidden="false" customHeight="false" outlineLevel="0" collapsed="false">
      <c r="A86" s="18" t="n">
        <v>85</v>
      </c>
      <c r="B86" s="18" t="n">
        <f aca="false">ROUNDUP(A86/12,0)</f>
        <v>8</v>
      </c>
      <c r="C86" s="17" t="n">
        <f aca="false">Předpoklady!$B$4</f>
        <v>4000</v>
      </c>
      <c r="D86" s="19" t="n">
        <f aca="false">(F85+C86)*(1+Předpoklady!$B$12)</f>
        <v>427655.373830208</v>
      </c>
      <c r="E86" s="13" t="n">
        <f aca="false">INDEX(Předpoklady!$C$18:$C$21,MATCH(D86,Předpoklady!$A$18:$A$21,1))</f>
        <v>0.006</v>
      </c>
      <c r="F86" s="19" t="n">
        <f aca="false">D86*(1-E86/12)</f>
        <v>427441.546143293</v>
      </c>
      <c r="G86" s="19" t="n">
        <f aca="false">(G85+C86)*(1+Předpoklady!$B$12)*(1-Předpoklady!$B$9/12)</f>
        <v>432404.436262776</v>
      </c>
      <c r="H86" s="19" t="n">
        <f aca="false">IF(AND(A86&gt;12,MOD(A86,12)=Předpoklady!$B$8),Předpoklady!$B$14,0)</f>
        <v>0</v>
      </c>
      <c r="I86" s="19" t="n">
        <f aca="false">I85+H86</f>
        <v>43200</v>
      </c>
      <c r="J86" s="19" t="n">
        <f aca="false">J85*(1+Předpoklady!$B$12)*(1-Předpoklady!$B$9/12)+H86</f>
        <v>53627.8695063644</v>
      </c>
      <c r="K86" s="19" t="n">
        <f aca="false">K85+D86*E86/12</f>
        <v>8535.28630787099</v>
      </c>
      <c r="L86" s="19" t="n">
        <f aca="false">L85+((G85+C86)+J85)*(1+Předpoklady!$B$12)*Předpoklady!$B$9/12</f>
        <v>4785.25204597287</v>
      </c>
      <c r="M86" s="19" t="n">
        <f aca="false">(O85+C86)*(1+Předpoklady!$B$12)</f>
        <v>426051.725999164</v>
      </c>
      <c r="N86" s="13" t="n">
        <f aca="false">INDEX(Předpoklady!$D$18:$D$21,MATCH(M86,Předpoklady!$A$18:$A$21,1))</f>
        <v>0.007</v>
      </c>
      <c r="O86" s="19" t="n">
        <f aca="false">M86*(1-N86/12)</f>
        <v>425803.195825664</v>
      </c>
      <c r="P86" s="19" t="n">
        <f aca="false">P85+M86*N86/12</f>
        <v>9932.85202758189</v>
      </c>
    </row>
    <row r="87" customFormat="false" ht="15" hidden="false" customHeight="false" outlineLevel="0" collapsed="false">
      <c r="A87" s="18" t="n">
        <v>86</v>
      </c>
      <c r="B87" s="18" t="n">
        <f aca="false">ROUNDUP(A87/12,0)</f>
        <v>8</v>
      </c>
      <c r="C87" s="17" t="n">
        <f aca="false">Předpoklady!$B$4</f>
        <v>4000</v>
      </c>
      <c r="D87" s="19" t="n">
        <f aca="false">(F86+C87)*(1+Předpoklady!$B$12)</f>
        <v>433880.979371354</v>
      </c>
      <c r="E87" s="13" t="n">
        <f aca="false">INDEX(Předpoklady!$C$18:$C$21,MATCH(D87,Předpoklady!$A$18:$A$21,1))</f>
        <v>0.006</v>
      </c>
      <c r="F87" s="19" t="n">
        <f aca="false">D87*(1-E87/12)</f>
        <v>433664.038881668</v>
      </c>
      <c r="G87" s="19" t="n">
        <f aca="false">(G86+C87)*(1+Předpoklady!$B$12)*(1-Předpoklady!$B$9/12)</f>
        <v>438762.212410516</v>
      </c>
      <c r="H87" s="19" t="n">
        <f aca="false">IF(AND(A87&gt;12,MOD(A87,12)=Předpoklady!$B$8),Předpoklady!$B$14,0)</f>
        <v>0</v>
      </c>
      <c r="I87" s="19" t="n">
        <f aca="false">I86+H87</f>
        <v>43200</v>
      </c>
      <c r="J87" s="19" t="n">
        <f aca="false">J86*(1+Předpoklady!$B$12)*(1-Předpoklady!$B$9/12)+H87</f>
        <v>53917.6065050508</v>
      </c>
      <c r="K87" s="19" t="n">
        <f aca="false">K86+D87*E87/12</f>
        <v>8752.22679755667</v>
      </c>
      <c r="L87" s="19" t="n">
        <f aca="false">L86+((G86+C87)+J86)*(1+Předpoklady!$B$12)*Předpoklady!$B$9/12</f>
        <v>4908.45280089049</v>
      </c>
      <c r="M87" s="19" t="n">
        <f aca="false">(O86+C87)*(1+Předpoklady!$B$12)</f>
        <v>432233.365582834</v>
      </c>
      <c r="N87" s="13" t="n">
        <f aca="false">INDEX(Předpoklady!$D$18:$D$21,MATCH(M87,Předpoklady!$A$18:$A$21,1))</f>
        <v>0.007</v>
      </c>
      <c r="O87" s="19" t="n">
        <f aca="false">M87*(1-N87/12)</f>
        <v>431981.229452911</v>
      </c>
      <c r="P87" s="19" t="n">
        <f aca="false">P86+M87*N87/12</f>
        <v>10184.9881575052</v>
      </c>
    </row>
    <row r="88" customFormat="false" ht="15" hidden="false" customHeight="false" outlineLevel="0" collapsed="false">
      <c r="A88" s="18" t="n">
        <v>87</v>
      </c>
      <c r="B88" s="18" t="n">
        <f aca="false">ROUNDUP(A88/12,0)</f>
        <v>8</v>
      </c>
      <c r="C88" s="17" t="n">
        <f aca="false">Předpoklady!$B$4</f>
        <v>4000</v>
      </c>
      <c r="D88" s="19" t="n">
        <f aca="false">(F87+C88)*(1+Předpoklady!$B$12)</f>
        <v>440138.654988344</v>
      </c>
      <c r="E88" s="13" t="n">
        <f aca="false">INDEX(Předpoklady!$C$18:$C$21,MATCH(D88,Předpoklady!$A$18:$A$21,1))</f>
        <v>0.006</v>
      </c>
      <c r="F88" s="19" t="n">
        <f aca="false">D88*(1-E88/12)</f>
        <v>439918.58566085</v>
      </c>
      <c r="G88" s="19" t="n">
        <f aca="false">(G87+C88)*(1+Předpoklady!$B$12)*(1-Předpoklady!$B$9/12)</f>
        <v>445154.337917951</v>
      </c>
      <c r="H88" s="19" t="n">
        <f aca="false">IF(AND(A88&gt;12,MOD(A88,12)=Předpoklady!$B$8),Předpoklady!$B$14,0)</f>
        <v>0</v>
      </c>
      <c r="I88" s="19" t="n">
        <f aca="false">I87+H88</f>
        <v>43200</v>
      </c>
      <c r="J88" s="19" t="n">
        <f aca="false">J87*(1+Předpoklady!$B$12)*(1-Předpoklady!$B$9/12)+H88</f>
        <v>54208.9088750485</v>
      </c>
      <c r="K88" s="19" t="n">
        <f aca="false">K87+D88*E88/12</f>
        <v>8972.29612505084</v>
      </c>
      <c r="L88" s="19" t="n">
        <f aca="false">L87+((G87+C88)+J87)*(1+Předpoklady!$B$12)*Předpoklady!$B$9/12</f>
        <v>5033.32483059617</v>
      </c>
      <c r="M88" s="19" t="n">
        <f aca="false">(O87+C88)*(1+Předpoklady!$B$12)</f>
        <v>438446.330710417</v>
      </c>
      <c r="N88" s="13" t="n">
        <f aca="false">INDEX(Předpoklady!$D$18:$D$21,MATCH(M88,Předpoklady!$A$18:$A$21,1))</f>
        <v>0.007</v>
      </c>
      <c r="O88" s="19" t="n">
        <f aca="false">M88*(1-N88/12)</f>
        <v>438190.570350836</v>
      </c>
      <c r="P88" s="19" t="n">
        <f aca="false">P87+M88*N88/12</f>
        <v>10440.7485170863</v>
      </c>
    </row>
    <row r="89" customFormat="false" ht="15" hidden="false" customHeight="false" outlineLevel="0" collapsed="false">
      <c r="A89" s="18" t="n">
        <v>88</v>
      </c>
      <c r="B89" s="18" t="n">
        <f aca="false">ROUNDUP(A89/12,0)</f>
        <v>8</v>
      </c>
      <c r="C89" s="17" t="n">
        <f aca="false">Předpoklady!$B$4</f>
        <v>4000</v>
      </c>
      <c r="D89" s="19" t="n">
        <f aca="false">(F88+C89)*(1+Předpoklady!$B$12)</f>
        <v>446428.565884348</v>
      </c>
      <c r="E89" s="13" t="n">
        <f aca="false">INDEX(Předpoklady!$C$18:$C$21,MATCH(D89,Předpoklady!$A$18:$A$21,1))</f>
        <v>0.006</v>
      </c>
      <c r="F89" s="19" t="n">
        <f aca="false">D89*(1-E89/12)</f>
        <v>446205.351601406</v>
      </c>
      <c r="G89" s="19" t="n">
        <f aca="false">(G88+C89)*(1+Předpoklady!$B$12)*(1-Předpoklady!$B$9/12)</f>
        <v>451580.998365462</v>
      </c>
      <c r="H89" s="19" t="n">
        <f aca="false">IF(AND(A89&gt;12,MOD(A89,12)=Předpoklady!$B$8),Předpoklady!$B$14,0)</f>
        <v>7200</v>
      </c>
      <c r="I89" s="19" t="n">
        <f aca="false">I88+H89</f>
        <v>50400</v>
      </c>
      <c r="J89" s="19" t="n">
        <f aca="false">J88*(1+Předpoklady!$B$12)*(1-Předpoklady!$B$9/12)+H89</f>
        <v>61701.7850736389</v>
      </c>
      <c r="K89" s="19" t="n">
        <f aca="false">K88+D89*E89/12</f>
        <v>9195.51040799301</v>
      </c>
      <c r="L89" s="19" t="n">
        <f aca="false">L88+((G88+C89)+J88)*(1+Předpoklady!$B$12)*Předpoklady!$B$9/12</f>
        <v>5159.87716453943</v>
      </c>
      <c r="M89" s="19" t="n">
        <f aca="false">(O88+C89)*(1+Předpoklady!$B$12)</f>
        <v>444690.78012454</v>
      </c>
      <c r="N89" s="13" t="n">
        <f aca="false">INDEX(Předpoklady!$D$18:$D$21,MATCH(M89,Předpoklady!$A$18:$A$21,1))</f>
        <v>0.007</v>
      </c>
      <c r="O89" s="19" t="n">
        <f aca="false">M89*(1-N89/12)</f>
        <v>444431.377169467</v>
      </c>
      <c r="P89" s="19" t="n">
        <f aca="false">P88+M89*N89/12</f>
        <v>10700.1514721589</v>
      </c>
    </row>
    <row r="90" customFormat="false" ht="15" hidden="false" customHeight="false" outlineLevel="0" collapsed="false">
      <c r="A90" s="18" t="n">
        <v>89</v>
      </c>
      <c r="B90" s="18" t="n">
        <f aca="false">ROUNDUP(A90/12,0)</f>
        <v>8</v>
      </c>
      <c r="C90" s="17" t="n">
        <f aca="false">Předpoklady!$B$4</f>
        <v>4000</v>
      </c>
      <c r="D90" s="19" t="n">
        <f aca="false">(F89+C90)*(1+Předpoklady!$B$12)</f>
        <v>452750.878113548</v>
      </c>
      <c r="E90" s="13" t="n">
        <f aca="false">INDEX(Předpoklady!$C$18:$C$21,MATCH(D90,Předpoklady!$A$18:$A$21,1))</f>
        <v>0.006</v>
      </c>
      <c r="F90" s="19" t="n">
        <f aca="false">D90*(1-E90/12)</f>
        <v>452524.502674491</v>
      </c>
      <c r="G90" s="19" t="n">
        <f aca="false">(G89+C90)*(1+Předpoklady!$B$12)*(1-Předpoklady!$B$9/12)</f>
        <v>458042.380336068</v>
      </c>
      <c r="H90" s="19" t="n">
        <f aca="false">IF(AND(A90&gt;12,MOD(A90,12)=Předpoklady!$B$8),Předpoklady!$B$14,0)</f>
        <v>0</v>
      </c>
      <c r="I90" s="19" t="n">
        <f aca="false">I89+H90</f>
        <v>50400</v>
      </c>
      <c r="J90" s="19" t="n">
        <f aca="false">J89*(1+Předpoklady!$B$12)*(1-Předpoklady!$B$9/12)+H90</f>
        <v>62035.1432731234</v>
      </c>
      <c r="K90" s="19" t="n">
        <f aca="false">K89+D90*E90/12</f>
        <v>9421.88584704978</v>
      </c>
      <c r="L90" s="19" t="n">
        <f aca="false">L89+((G89+C90)+J89)*(1+Předpoklady!$B$12)*Předpoklady!$B$9/12</f>
        <v>5289.9290584152</v>
      </c>
      <c r="M90" s="19" t="n">
        <f aca="false">(O89+C90)*(1+Předpoklady!$B$12)</f>
        <v>450966.873372257</v>
      </c>
      <c r="N90" s="13" t="n">
        <f aca="false">INDEX(Předpoklady!$D$18:$D$21,MATCH(M90,Předpoklady!$A$18:$A$21,1))</f>
        <v>0.007</v>
      </c>
      <c r="O90" s="19" t="n">
        <f aca="false">M90*(1-N90/12)</f>
        <v>450703.80936279</v>
      </c>
      <c r="P90" s="19" t="n">
        <f aca="false">P89+M90*N90/12</f>
        <v>10963.2154816261</v>
      </c>
    </row>
    <row r="91" customFormat="false" ht="15" hidden="false" customHeight="false" outlineLevel="0" collapsed="false">
      <c r="A91" s="18" t="n">
        <v>90</v>
      </c>
      <c r="B91" s="18" t="n">
        <f aca="false">ROUNDUP(A91/12,0)</f>
        <v>8</v>
      </c>
      <c r="C91" s="17" t="n">
        <f aca="false">Předpoklady!$B$4</f>
        <v>4000</v>
      </c>
      <c r="D91" s="19" t="n">
        <f aca="false">(F90+C91)*(1+Předpoklady!$B$12)</f>
        <v>459105.758585526</v>
      </c>
      <c r="E91" s="13" t="n">
        <f aca="false">INDEX(Předpoklady!$C$18:$C$21,MATCH(D91,Předpoklady!$A$18:$A$21,1))</f>
        <v>0.006</v>
      </c>
      <c r="F91" s="19" t="n">
        <f aca="false">D91*(1-E91/12)</f>
        <v>458876.205706233</v>
      </c>
      <c r="G91" s="19" t="n">
        <f aca="false">(G90+C91)*(1+Předpoklady!$B$12)*(1-Předpoklady!$B$9/12)</f>
        <v>464538.671420848</v>
      </c>
      <c r="H91" s="19" t="n">
        <f aca="false">IF(AND(A91&gt;12,MOD(A91,12)=Předpoklady!$B$8),Předpoklady!$B$14,0)</f>
        <v>0</v>
      </c>
      <c r="I91" s="19" t="n">
        <f aca="false">I90+H91</f>
        <v>50400</v>
      </c>
      <c r="J91" s="19" t="n">
        <f aca="false">J90*(1+Předpoklady!$B$12)*(1-Předpoklady!$B$9/12)+H91</f>
        <v>62370.30251757</v>
      </c>
      <c r="K91" s="19" t="n">
        <f aca="false">K90+D91*E91/12</f>
        <v>9651.43872634255</v>
      </c>
      <c r="L91" s="19" t="n">
        <f aca="false">L90+((G90+C91)+J90)*(1+Předpoklady!$B$12)*Předpoklady!$B$9/12</f>
        <v>5421.68924194568</v>
      </c>
      <c r="M91" s="19" t="n">
        <f aca="false">(O90+C91)*(1+Předpoklady!$B$12)</f>
        <v>457274.770809134</v>
      </c>
      <c r="N91" s="13" t="n">
        <f aca="false">INDEX(Předpoklady!$D$18:$D$21,MATCH(M91,Předpoklady!$A$18:$A$21,1))</f>
        <v>0.007</v>
      </c>
      <c r="O91" s="19" t="n">
        <f aca="false">M91*(1-N91/12)</f>
        <v>457008.027192829</v>
      </c>
      <c r="P91" s="19" t="n">
        <f aca="false">P90+M91*N91/12</f>
        <v>11229.9590979314</v>
      </c>
    </row>
    <row r="92" customFormat="false" ht="15" hidden="false" customHeight="false" outlineLevel="0" collapsed="false">
      <c r="A92" s="18" t="n">
        <v>91</v>
      </c>
      <c r="B92" s="18" t="n">
        <f aca="false">ROUNDUP(A92/12,0)</f>
        <v>8</v>
      </c>
      <c r="C92" s="17" t="n">
        <f aca="false">Předpoklady!$B$4</f>
        <v>4000</v>
      </c>
      <c r="D92" s="19" t="n">
        <f aca="false">(F91+C92)*(1+Předpoklady!$B$12)</f>
        <v>465493.375069667</v>
      </c>
      <c r="E92" s="13" t="n">
        <f aca="false">INDEX(Předpoklady!$C$18:$C$21,MATCH(D92,Předpoklady!$A$18:$A$21,1))</f>
        <v>0.006</v>
      </c>
      <c r="F92" s="19" t="n">
        <f aca="false">D92*(1-E92/12)</f>
        <v>465260.628382132</v>
      </c>
      <c r="G92" s="19" t="n">
        <f aca="false">(G91+C92)*(1+Předpoklady!$B$12)*(1-Předpoklady!$B$9/12)</f>
        <v>471070.060224386</v>
      </c>
      <c r="H92" s="19" t="n">
        <f aca="false">IF(AND(A92&gt;12,MOD(A92,12)=Předpoklady!$B$8),Předpoklady!$B$14,0)</f>
        <v>0</v>
      </c>
      <c r="I92" s="19" t="n">
        <f aca="false">I91+H92</f>
        <v>50400</v>
      </c>
      <c r="J92" s="19" t="n">
        <f aca="false">J91*(1+Předpoklady!$B$12)*(1-Předpoklady!$B$9/12)+H92</f>
        <v>62707.2725375419</v>
      </c>
      <c r="K92" s="19" t="n">
        <f aca="false">K91+D92*E92/12</f>
        <v>9884.18541387738</v>
      </c>
      <c r="L92" s="19" t="n">
        <f aca="false">L91+((G91+C92)+J91)*(1+Předpoklady!$B$12)*Předpoklady!$B$9/12</f>
        <v>5555.16694456182</v>
      </c>
      <c r="M92" s="19" t="n">
        <f aca="false">(O91+C92)*(1+Předpoklady!$B$12)</f>
        <v>463614.633603338</v>
      </c>
      <c r="N92" s="13" t="n">
        <f aca="false">INDEX(Předpoklady!$D$18:$D$21,MATCH(M92,Předpoklady!$A$18:$A$21,1))</f>
        <v>0.007</v>
      </c>
      <c r="O92" s="19" t="n">
        <f aca="false">M92*(1-N92/12)</f>
        <v>463344.191733736</v>
      </c>
      <c r="P92" s="19" t="n">
        <f aca="false">P91+M92*N92/12</f>
        <v>11500.4009675334</v>
      </c>
    </row>
    <row r="93" customFormat="false" ht="15" hidden="false" customHeight="false" outlineLevel="0" collapsed="false">
      <c r="A93" s="18" t="n">
        <v>92</v>
      </c>
      <c r="B93" s="18" t="n">
        <f aca="false">ROUNDUP(A93/12,0)</f>
        <v>8</v>
      </c>
      <c r="C93" s="17" t="n">
        <f aca="false">Předpoklady!$B$4</f>
        <v>4000</v>
      </c>
      <c r="D93" s="19" t="n">
        <f aca="false">(F92+C93)*(1+Předpoklady!$B$12)</f>
        <v>471913.89619959</v>
      </c>
      <c r="E93" s="13" t="n">
        <f aca="false">INDEX(Předpoklady!$C$18:$C$21,MATCH(D93,Předpoklady!$A$18:$A$21,1))</f>
        <v>0.006</v>
      </c>
      <c r="F93" s="19" t="n">
        <f aca="false">D93*(1-E93/12)</f>
        <v>471677.93925149</v>
      </c>
      <c r="G93" s="19" t="n">
        <f aca="false">(G92+C93)*(1+Předpoklady!$B$12)*(1-Předpoklady!$B$9/12)</f>
        <v>477636.736370245</v>
      </c>
      <c r="H93" s="19" t="n">
        <f aca="false">IF(AND(A93&gt;12,MOD(A93,12)=Předpoklady!$B$8),Předpoklady!$B$14,0)</f>
        <v>0</v>
      </c>
      <c r="I93" s="19" t="n">
        <f aca="false">I92+H93</f>
        <v>50400</v>
      </c>
      <c r="J93" s="19" t="n">
        <f aca="false">J92*(1+Předpoklady!$B$12)*(1-Předpoklady!$B$9/12)+H93</f>
        <v>63046.0631161734</v>
      </c>
      <c r="K93" s="19" t="n">
        <f aca="false">K92+D93*E93/12</f>
        <v>10120.1423619772</v>
      </c>
      <c r="L93" s="19" t="n">
        <f aca="false">L92+((G92+C93)+J92)*(1+Předpoklady!$B$12)*Předpoklady!$B$9/12</f>
        <v>5690.37144555867</v>
      </c>
      <c r="M93" s="19" t="n">
        <f aca="false">(O92+C93)*(1+Předpoklady!$B$12)</f>
        <v>469986.623739758</v>
      </c>
      <c r="N93" s="13" t="n">
        <f aca="false">INDEX(Předpoklady!$D$18:$D$21,MATCH(M93,Předpoklady!$A$18:$A$21,1))</f>
        <v>0.007</v>
      </c>
      <c r="O93" s="19" t="n">
        <f aca="false">M93*(1-N93/12)</f>
        <v>469712.46487591</v>
      </c>
      <c r="P93" s="19" t="n">
        <f aca="false">P92+M93*N93/12</f>
        <v>11774.5598313816</v>
      </c>
    </row>
    <row r="94" customFormat="false" ht="15" hidden="false" customHeight="false" outlineLevel="0" collapsed="false">
      <c r="A94" s="18" t="n">
        <v>93</v>
      </c>
      <c r="B94" s="18" t="n">
        <f aca="false">ROUNDUP(A94/12,0)</f>
        <v>8</v>
      </c>
      <c r="C94" s="17" t="n">
        <f aca="false">Předpoklady!$B$4</f>
        <v>4000</v>
      </c>
      <c r="D94" s="19" t="n">
        <f aca="false">(F93+C94)*(1+Předpoklady!$B$12)</f>
        <v>478367.491477599</v>
      </c>
      <c r="E94" s="13" t="n">
        <f aca="false">INDEX(Předpoklady!$C$18:$C$21,MATCH(D94,Předpoklady!$A$18:$A$21,1))</f>
        <v>0.006</v>
      </c>
      <c r="F94" s="19" t="n">
        <f aca="false">D94*(1-E94/12)</f>
        <v>478128.30773186</v>
      </c>
      <c r="G94" s="19" t="n">
        <f aca="false">(G93+C94)*(1+Předpoklady!$B$12)*(1-Předpoklady!$B$9/12)</f>
        <v>484238.890506472</v>
      </c>
      <c r="H94" s="19" t="n">
        <f aca="false">IF(AND(A94&gt;12,MOD(A94,12)=Předpoklady!$B$8),Předpoklady!$B$14,0)</f>
        <v>0</v>
      </c>
      <c r="I94" s="19" t="n">
        <f aca="false">I93+H94</f>
        <v>50400</v>
      </c>
      <c r="J94" s="19" t="n">
        <f aca="false">J93*(1+Předpoklady!$B$12)*(1-Předpoklady!$B$9/12)+H94</f>
        <v>63386.684089455</v>
      </c>
      <c r="K94" s="19" t="n">
        <f aca="false">K93+D94*E94/12</f>
        <v>10359.326107716</v>
      </c>
      <c r="L94" s="19" t="n">
        <f aca="false">L93+((G93+C94)+J93)*(1+Předpoklady!$B$12)*Předpoklady!$B$9/12</f>
        <v>5827.31207436486</v>
      </c>
      <c r="M94" s="19" t="n">
        <f aca="false">(O93+C94)*(1+Předpoklady!$B$12)</f>
        <v>476390.904024145</v>
      </c>
      <c r="N94" s="13" t="n">
        <f aca="false">INDEX(Předpoklady!$D$18:$D$21,MATCH(M94,Předpoklady!$A$18:$A$21,1))</f>
        <v>0.007</v>
      </c>
      <c r="O94" s="19" t="n">
        <f aca="false">M94*(1-N94/12)</f>
        <v>476113.00933013</v>
      </c>
      <c r="P94" s="19" t="n">
        <f aca="false">P93+M94*N94/12</f>
        <v>12052.4545253956</v>
      </c>
    </row>
    <row r="95" customFormat="false" ht="15" hidden="false" customHeight="false" outlineLevel="0" collapsed="false">
      <c r="A95" s="18" t="n">
        <v>94</v>
      </c>
      <c r="B95" s="18" t="n">
        <f aca="false">ROUNDUP(A95/12,0)</f>
        <v>8</v>
      </c>
      <c r="C95" s="17" t="n">
        <f aca="false">Předpoklady!$B$4</f>
        <v>4000</v>
      </c>
      <c r="D95" s="19" t="n">
        <f aca="false">(F94+C95)*(1+Předpoklady!$B$12)</f>
        <v>484854.33127916</v>
      </c>
      <c r="E95" s="13" t="n">
        <f aca="false">INDEX(Předpoklady!$C$18:$C$21,MATCH(D95,Předpoklady!$A$18:$A$21,1))</f>
        <v>0.006</v>
      </c>
      <c r="F95" s="19" t="n">
        <f aca="false">D95*(1-E95/12)</f>
        <v>484611.90411352</v>
      </c>
      <c r="G95" s="19" t="n">
        <f aca="false">(G94+C95)*(1+Předpoklady!$B$12)*(1-Předpoklady!$B$9/12)</f>
        <v>490876.714311137</v>
      </c>
      <c r="H95" s="19" t="n">
        <f aca="false">IF(AND(A95&gt;12,MOD(A95,12)=Předpoklady!$B$8),Předpoklady!$B$14,0)</f>
        <v>0</v>
      </c>
      <c r="I95" s="19" t="n">
        <f aca="false">I94+H95</f>
        <v>50400</v>
      </c>
      <c r="J95" s="19" t="n">
        <f aca="false">J94*(1+Předpoklady!$B$12)*(1-Předpoklady!$B$9/12)+H95</f>
        <v>63729.1453465181</v>
      </c>
      <c r="K95" s="19" t="n">
        <f aca="false">K94+D95*E95/12</f>
        <v>10601.7532733556</v>
      </c>
      <c r="L95" s="19" t="n">
        <f aca="false">L94+((G94+C95)+J94)*(1+Předpoklady!$B$12)*Předpoklady!$B$9/12</f>
        <v>5965.99821081338</v>
      </c>
      <c r="M95" s="19" t="n">
        <f aca="false">(O94+C95)*(1+Předpoklady!$B$12)</f>
        <v>482827.638087268</v>
      </c>
      <c r="N95" s="13" t="n">
        <f aca="false">INDEX(Předpoklady!$D$18:$D$21,MATCH(M95,Předpoklady!$A$18:$A$21,1))</f>
        <v>0.007</v>
      </c>
      <c r="O95" s="19" t="n">
        <f aca="false">M95*(1-N95/12)</f>
        <v>482545.988631717</v>
      </c>
      <c r="P95" s="19" t="n">
        <f aca="false">P94+M95*N95/12</f>
        <v>12334.1039809465</v>
      </c>
    </row>
    <row r="96" customFormat="false" ht="15" hidden="false" customHeight="false" outlineLevel="0" collapsed="false">
      <c r="A96" s="18" t="n">
        <v>95</v>
      </c>
      <c r="B96" s="18" t="n">
        <f aca="false">ROUNDUP(A96/12,0)</f>
        <v>8</v>
      </c>
      <c r="C96" s="17" t="n">
        <f aca="false">Předpoklady!$B$4</f>
        <v>4000</v>
      </c>
      <c r="D96" s="19" t="n">
        <f aca="false">(F95+C96)*(1+Předpoklady!$B$12)</f>
        <v>491374.586857395</v>
      </c>
      <c r="E96" s="13" t="n">
        <f aca="false">INDEX(Předpoklady!$C$18:$C$21,MATCH(D96,Předpoklady!$A$18:$A$21,1))</f>
        <v>0.006</v>
      </c>
      <c r="F96" s="19" t="n">
        <f aca="false">D96*(1-E96/12)</f>
        <v>491128.899563967</v>
      </c>
      <c r="G96" s="19" t="n">
        <f aca="false">(G95+C96)*(1+Předpoklady!$B$12)*(1-Předpoklady!$B$9/12)</f>
        <v>497550.400497893</v>
      </c>
      <c r="H96" s="19" t="n">
        <f aca="false">IF(AND(A96&gt;12,MOD(A96,12)=Předpoklady!$B$8),Předpoklady!$B$14,0)</f>
        <v>0</v>
      </c>
      <c r="I96" s="19" t="n">
        <f aca="false">I95+H96</f>
        <v>50400</v>
      </c>
      <c r="J96" s="19" t="n">
        <f aca="false">J95*(1+Předpoklady!$B$12)*(1-Předpoklady!$B$9/12)+H96</f>
        <v>64073.4568299225</v>
      </c>
      <c r="K96" s="19" t="n">
        <f aca="false">K95+D96*E96/12</f>
        <v>10847.4405667843</v>
      </c>
      <c r="L96" s="19" t="n">
        <f aca="false">L95+((G95+C96)+J95)*(1+Předpoklady!$B$12)*Předpoklady!$B$9/12</f>
        <v>6106.43928541399</v>
      </c>
      <c r="M96" s="19" t="n">
        <f aca="false">(O95+C96)*(1+Předpoklady!$B$12)</f>
        <v>489296.990389099</v>
      </c>
      <c r="N96" s="13" t="n">
        <f aca="false">INDEX(Předpoklady!$D$18:$D$21,MATCH(M96,Předpoklady!$A$18:$A$21,1))</f>
        <v>0.007</v>
      </c>
      <c r="O96" s="19" t="n">
        <f aca="false">M96*(1-N96/12)</f>
        <v>489011.567144706</v>
      </c>
      <c r="P96" s="19" t="n">
        <f aca="false">P95+M96*N96/12</f>
        <v>12619.5272253402</v>
      </c>
    </row>
    <row r="97" customFormat="false" ht="15" hidden="false" customHeight="false" outlineLevel="0" collapsed="false">
      <c r="A97" s="18" t="n">
        <v>96</v>
      </c>
      <c r="B97" s="18" t="n">
        <f aca="false">ROUNDUP(A97/12,0)</f>
        <v>8</v>
      </c>
      <c r="C97" s="17" t="n">
        <f aca="false">Předpoklady!$B$4</f>
        <v>4000</v>
      </c>
      <c r="D97" s="19" t="n">
        <f aca="false">(F96+C97)*(1+Předpoklady!$B$12)</f>
        <v>497928.430347607</v>
      </c>
      <c r="E97" s="13" t="n">
        <f aca="false">INDEX(Předpoklady!$C$18:$C$21,MATCH(D97,Předpoklady!$A$18:$A$21,1))</f>
        <v>0.006</v>
      </c>
      <c r="F97" s="19" t="n">
        <f aca="false">D97*(1-E97/12)</f>
        <v>497679.466132433</v>
      </c>
      <c r="G97" s="19" t="n">
        <f aca="false">(G96+C97)*(1+Předpoklady!$B$12)*(1-Předpoklady!$B$9/12)</f>
        <v>504260.142821574</v>
      </c>
      <c r="H97" s="19" t="n">
        <f aca="false">IF(AND(A97&gt;12,MOD(A97,12)=Předpoklady!$B$8),Předpoklady!$B$14,0)</f>
        <v>0</v>
      </c>
      <c r="I97" s="19" t="n">
        <f aca="false">I96+H97</f>
        <v>50400</v>
      </c>
      <c r="J97" s="19" t="n">
        <f aca="false">J96*(1+Předpoklady!$B$12)*(1-Předpoklady!$B$9/12)+H97</f>
        <v>64419.6285359449</v>
      </c>
      <c r="K97" s="19" t="n">
        <f aca="false">K96+D97*E97/12</f>
        <v>11096.4047819581</v>
      </c>
      <c r="L97" s="19" t="n">
        <f aca="false">L96+((G96+C97)+J96)*(1+Předpoklady!$B$12)*Předpoklady!$B$9/12</f>
        <v>6248.64477962692</v>
      </c>
      <c r="M97" s="19" t="n">
        <f aca="false">(O96+C97)*(1+Předpoklady!$B$12)</f>
        <v>495799.126223014</v>
      </c>
      <c r="N97" s="13" t="n">
        <f aca="false">INDEX(Předpoklady!$D$18:$D$21,MATCH(M97,Předpoklady!$A$18:$A$21,1))</f>
        <v>0.007</v>
      </c>
      <c r="O97" s="19" t="n">
        <f aca="false">M97*(1-N97/12)</f>
        <v>495509.910066051</v>
      </c>
      <c r="P97" s="19" t="n">
        <f aca="false">P96+M97*N97/12</f>
        <v>12908.7433823036</v>
      </c>
    </row>
    <row r="98" customFormat="false" ht="15" hidden="false" customHeight="false" outlineLevel="0" collapsed="false">
      <c r="A98" s="18" t="n">
        <v>97</v>
      </c>
      <c r="B98" s="18" t="n">
        <f aca="false">ROUNDUP(A98/12,0)</f>
        <v>9</v>
      </c>
      <c r="C98" s="17" t="n">
        <f aca="false">Předpoklady!$B$4</f>
        <v>4000</v>
      </c>
      <c r="D98" s="19" t="n">
        <f aca="false">(F97+C98)*(1+Předpoklady!$B$12)</f>
        <v>504516.034771822</v>
      </c>
      <c r="E98" s="13" t="n">
        <f aca="false">INDEX(Předpoklady!$C$18:$C$21,MATCH(D98,Předpoklady!$A$18:$A$21,1))</f>
        <v>0.0048</v>
      </c>
      <c r="F98" s="19" t="n">
        <f aca="false">D98*(1-E98/12)</f>
        <v>504314.228357913</v>
      </c>
      <c r="G98" s="19" t="n">
        <f aca="false">(G97+C98)*(1+Předpoklady!$B$12)*(1-Předpoklady!$B$9/12)</f>
        <v>511006.13608382</v>
      </c>
      <c r="H98" s="19" t="n">
        <f aca="false">IF(AND(A98&gt;12,MOD(A98,12)=Předpoklady!$B$8),Předpoklady!$B$14,0)</f>
        <v>0</v>
      </c>
      <c r="I98" s="19" t="n">
        <f aca="false">I97+H98</f>
        <v>50400</v>
      </c>
      <c r="J98" s="19" t="n">
        <f aca="false">J97*(1+Předpoklady!$B$12)*(1-Předpoklady!$B$9/12)+H98</f>
        <v>64767.6705148694</v>
      </c>
      <c r="K98" s="19" t="n">
        <f aca="false">K97+D98*E98/12</f>
        <v>11298.2111958668</v>
      </c>
      <c r="L98" s="19" t="n">
        <f aca="false">L97+((G97+C98)+J97)*(1+Předpoklady!$B$12)*Předpoklady!$B$9/12</f>
        <v>6392.62422613822</v>
      </c>
      <c r="M98" s="19" t="n">
        <f aca="false">(O97+C98)*(1+Předpoklady!$B$12)</f>
        <v>502334.211720014</v>
      </c>
      <c r="N98" s="13" t="n">
        <f aca="false">INDEX(Předpoklady!$D$18:$D$21,MATCH(M98,Předpoklady!$A$18:$A$21,1))</f>
        <v>0.0056</v>
      </c>
      <c r="O98" s="19" t="n">
        <f aca="false">M98*(1-N98/12)</f>
        <v>502099.789087878</v>
      </c>
      <c r="P98" s="19" t="n">
        <f aca="false">P97+M98*N98/12</f>
        <v>13143.1660144396</v>
      </c>
    </row>
    <row r="99" customFormat="false" ht="15" hidden="false" customHeight="false" outlineLevel="0" collapsed="false">
      <c r="A99" s="18" t="n">
        <v>98</v>
      </c>
      <c r="B99" s="18" t="n">
        <f aca="false">ROUNDUP(A99/12,0)</f>
        <v>9</v>
      </c>
      <c r="C99" s="17" t="n">
        <f aca="false">Předpoklady!$B$4</f>
        <v>4000</v>
      </c>
      <c r="D99" s="19" t="n">
        <f aca="false">(F98+C99)*(1+Předpoklady!$B$12)</f>
        <v>511188.310907536</v>
      </c>
      <c r="E99" s="13" t="n">
        <f aca="false">INDEX(Předpoklady!$C$18:$C$21,MATCH(D99,Předpoklady!$A$18:$A$21,1))</f>
        <v>0.0048</v>
      </c>
      <c r="F99" s="19" t="n">
        <f aca="false">D99*(1-E99/12)</f>
        <v>510983.835583173</v>
      </c>
      <c r="G99" s="19" t="n">
        <f aca="false">(G98+C99)*(1+Předpoklady!$B$12)*(1-Předpoklady!$B$9/12)</f>
        <v>517788.57613873</v>
      </c>
      <c r="H99" s="19" t="n">
        <f aca="false">IF(AND(A99&gt;12,MOD(A99,12)=Předpoklady!$B$8),Předpoklady!$B$14,0)</f>
        <v>0</v>
      </c>
      <c r="I99" s="19" t="n">
        <f aca="false">I98+H99</f>
        <v>50400</v>
      </c>
      <c r="J99" s="19" t="n">
        <f aca="false">J98*(1+Předpoklady!$B$12)*(1-Předpoklady!$B$9/12)+H99</f>
        <v>65117.592871279</v>
      </c>
      <c r="K99" s="19" t="n">
        <f aca="false">K98+D99*E99/12</f>
        <v>11502.6865202298</v>
      </c>
      <c r="L99" s="19" t="n">
        <f aca="false">L98+((G98+C99)+J98)*(1+Předpoklady!$B$12)*Předpoklady!$B$9/12</f>
        <v>6538.38720913647</v>
      </c>
      <c r="M99" s="19" t="n">
        <f aca="false">(O98+C99)*(1+Předpoklady!$B$12)</f>
        <v>508961.350875916</v>
      </c>
      <c r="N99" s="13" t="n">
        <f aca="false">INDEX(Předpoklady!$D$18:$D$21,MATCH(M99,Předpoklady!$A$18:$A$21,1))</f>
        <v>0.0056</v>
      </c>
      <c r="O99" s="19" t="n">
        <f aca="false">M99*(1-N99/12)</f>
        <v>508723.835578841</v>
      </c>
      <c r="P99" s="19" t="n">
        <f aca="false">P98+M99*N99/12</f>
        <v>13380.681311515</v>
      </c>
    </row>
    <row r="100" customFormat="false" ht="15" hidden="false" customHeight="false" outlineLevel="0" collapsed="false">
      <c r="A100" s="18" t="n">
        <v>99</v>
      </c>
      <c r="B100" s="18" t="n">
        <f aca="false">ROUNDUP(A100/12,0)</f>
        <v>9</v>
      </c>
      <c r="C100" s="17" t="n">
        <f aca="false">Předpoklady!$B$4</f>
        <v>4000</v>
      </c>
      <c r="D100" s="19" t="n">
        <f aca="false">(F99+C100)*(1+Předpoklady!$B$12)</f>
        <v>517895.629061724</v>
      </c>
      <c r="E100" s="13" t="n">
        <f aca="false">INDEX(Předpoklady!$C$18:$C$21,MATCH(D100,Předpoklady!$A$18:$A$21,1))</f>
        <v>0.0048</v>
      </c>
      <c r="F100" s="19" t="n">
        <f aca="false">D100*(1-E100/12)</f>
        <v>517688.470810099</v>
      </c>
      <c r="G100" s="19" t="n">
        <f aca="false">(G99+C100)*(1+Předpoklady!$B$12)*(1-Předpoklady!$B$9/12)</f>
        <v>524607.659898554</v>
      </c>
      <c r="H100" s="19" t="n">
        <f aca="false">IF(AND(A100&gt;12,MOD(A100,12)=Předpoklady!$B$8),Předpoklady!$B$14,0)</f>
        <v>0</v>
      </c>
      <c r="I100" s="19" t="n">
        <f aca="false">I99+H100</f>
        <v>50400</v>
      </c>
      <c r="J100" s="19" t="n">
        <f aca="false">J99*(1+Předpoklady!$B$12)*(1-Předpoklady!$B$9/12)+H100</f>
        <v>65469.4057643489</v>
      </c>
      <c r="K100" s="19" t="n">
        <f aca="false">K99+D100*E100/12</f>
        <v>11709.8447718545</v>
      </c>
      <c r="L100" s="19" t="n">
        <f aca="false">L99+((G99+C100)+J99)*(1+Předpoklady!$B$12)*Předpoklady!$B$9/12</f>
        <v>6685.94336459106</v>
      </c>
      <c r="M100" s="19" t="n">
        <f aca="false">(O99+C100)*(1+Předpoklady!$B$12)</f>
        <v>515622.850688792</v>
      </c>
      <c r="N100" s="13" t="n">
        <f aca="false">INDEX(Předpoklady!$D$18:$D$21,MATCH(M100,Předpoklady!$A$18:$A$21,1))</f>
        <v>0.0056</v>
      </c>
      <c r="O100" s="19" t="n">
        <f aca="false">M100*(1-N100/12)</f>
        <v>515382.226691803</v>
      </c>
      <c r="P100" s="19" t="n">
        <f aca="false">P99+M100*N100/12</f>
        <v>13621.3053085031</v>
      </c>
    </row>
    <row r="101" customFormat="false" ht="15" hidden="false" customHeight="false" outlineLevel="0" collapsed="false">
      <c r="A101" s="18" t="n">
        <v>100</v>
      </c>
      <c r="B101" s="18" t="n">
        <f aca="false">ROUNDUP(A101/12,0)</f>
        <v>9</v>
      </c>
      <c r="C101" s="17" t="n">
        <f aca="false">Předpoklady!$B$4</f>
        <v>4000</v>
      </c>
      <c r="D101" s="19" t="n">
        <f aca="false">(F100+C101)*(1+Předpoklady!$B$12)</f>
        <v>524638.173270992</v>
      </c>
      <c r="E101" s="13" t="n">
        <f aca="false">INDEX(Předpoklady!$C$18:$C$21,MATCH(D101,Předpoklady!$A$18:$A$21,1))</f>
        <v>0.0048</v>
      </c>
      <c r="F101" s="19" t="n">
        <f aca="false">D101*(1-E101/12)</f>
        <v>524428.318001684</v>
      </c>
      <c r="G101" s="19" t="n">
        <f aca="false">(G100+C101)*(1+Předpoklady!$B$12)*(1-Předpoklady!$B$9/12)</f>
        <v>531463.585339401</v>
      </c>
      <c r="H101" s="19" t="n">
        <f aca="false">IF(AND(A101&gt;12,MOD(A101,12)=Předpoklady!$B$8),Předpoklady!$B$14,0)</f>
        <v>7200</v>
      </c>
      <c r="I101" s="19" t="n">
        <f aca="false">I100+H101</f>
        <v>57600</v>
      </c>
      <c r="J101" s="19" t="n">
        <f aca="false">J100*(1+Předpoklady!$B$12)*(1-Předpoklady!$B$9/12)+H101</f>
        <v>73023.1194081418</v>
      </c>
      <c r="K101" s="19" t="n">
        <f aca="false">K100+D101*E101/12</f>
        <v>11919.7000411629</v>
      </c>
      <c r="L101" s="19" t="n">
        <f aca="false">L100+((G100+C101)+J100)*(1+Předpoklady!$B$12)*Předpoklady!$B$9/12</f>
        <v>6835.30238053193</v>
      </c>
      <c r="M101" s="19" t="n">
        <f aca="false">(O100+C101)*(1+Předpoklady!$B$12)</f>
        <v>522318.889313153</v>
      </c>
      <c r="N101" s="13" t="n">
        <f aca="false">INDEX(Předpoklady!$D$18:$D$21,MATCH(M101,Předpoklady!$A$18:$A$21,1))</f>
        <v>0.0056</v>
      </c>
      <c r="O101" s="19" t="n">
        <f aca="false">M101*(1-N101/12)</f>
        <v>522075.14049814</v>
      </c>
      <c r="P101" s="19" t="n">
        <f aca="false">P100+M101*N101/12</f>
        <v>13865.054123516</v>
      </c>
    </row>
    <row r="102" customFormat="false" ht="15" hidden="false" customHeight="false" outlineLevel="0" collapsed="false">
      <c r="A102" s="18" t="n">
        <v>101</v>
      </c>
      <c r="B102" s="18" t="n">
        <f aca="false">ROUNDUP(A102/12,0)</f>
        <v>9</v>
      </c>
      <c r="C102" s="17" t="n">
        <f aca="false">Předpoklady!$B$4</f>
        <v>4000</v>
      </c>
      <c r="D102" s="19" t="n">
        <f aca="false">(F101+C102)*(1+Předpoklady!$B$12)</f>
        <v>531416.128538488</v>
      </c>
      <c r="E102" s="13" t="n">
        <f aca="false">INDEX(Předpoklady!$C$18:$C$21,MATCH(D102,Předpoklady!$A$18:$A$21,1))</f>
        <v>0.0048</v>
      </c>
      <c r="F102" s="19" t="n">
        <f aca="false">D102*(1-E102/12)</f>
        <v>531203.562087072</v>
      </c>
      <c r="G102" s="19" t="n">
        <f aca="false">(G101+C102)*(1+Předpoklady!$B$12)*(1-Předpoklady!$B$9/12)</f>
        <v>538356.551506996</v>
      </c>
      <c r="H102" s="19" t="n">
        <f aca="false">IF(AND(A102&gt;12,MOD(A102,12)=Předpoklady!$B$8),Předpoklady!$B$14,0)</f>
        <v>0</v>
      </c>
      <c r="I102" s="19" t="n">
        <f aca="false">I101+H102</f>
        <v>57600</v>
      </c>
      <c r="J102" s="19" t="n">
        <f aca="false">J101*(1+Předpoklady!$B$12)*(1-Předpoklady!$B$9/12)+H102</f>
        <v>73417.6437412318</v>
      </c>
      <c r="K102" s="19" t="n">
        <f aca="false">K101+D102*E102/12</f>
        <v>12132.2664925783</v>
      </c>
      <c r="L102" s="19" t="n">
        <f aca="false">L101+((G101+C102)+J101)*(1+Předpoklady!$B$12)*Předpoklady!$B$9/12</f>
        <v>6988.28417479255</v>
      </c>
      <c r="M102" s="19" t="n">
        <f aca="false">(O101+C102)*(1+Předpoklady!$B$12)</f>
        <v>529049.645827216</v>
      </c>
      <c r="N102" s="13" t="n">
        <f aca="false">INDEX(Předpoklady!$D$18:$D$21,MATCH(M102,Předpoklady!$A$18:$A$21,1))</f>
        <v>0.0056</v>
      </c>
      <c r="O102" s="19" t="n">
        <f aca="false">M102*(1-N102/12)</f>
        <v>528802.755992497</v>
      </c>
      <c r="P102" s="19" t="n">
        <f aca="false">P101+M102*N102/12</f>
        <v>14111.9439582353</v>
      </c>
    </row>
    <row r="103" customFormat="false" ht="15" hidden="false" customHeight="false" outlineLevel="0" collapsed="false">
      <c r="A103" s="18" t="n">
        <v>102</v>
      </c>
      <c r="B103" s="18" t="n">
        <f aca="false">ROUNDUP(A103/12,0)</f>
        <v>9</v>
      </c>
      <c r="C103" s="17" t="n">
        <f aca="false">Předpoklady!$B$4</f>
        <v>4000</v>
      </c>
      <c r="D103" s="19" t="n">
        <f aca="false">(F102+C103)*(1+Předpoklady!$B$12)</f>
        <v>538229.68083897</v>
      </c>
      <c r="E103" s="13" t="n">
        <f aca="false">INDEX(Předpoklady!$C$18:$C$21,MATCH(D103,Předpoklady!$A$18:$A$21,1))</f>
        <v>0.0048</v>
      </c>
      <c r="F103" s="19" t="n">
        <f aca="false">D103*(1-E103/12)</f>
        <v>538014.388966634</v>
      </c>
      <c r="G103" s="19" t="n">
        <f aca="false">(G102+C103)*(1+Předpoklady!$B$12)*(1-Předpoklady!$B$9/12)</f>
        <v>545286.758522453</v>
      </c>
      <c r="H103" s="19" t="n">
        <f aca="false">IF(AND(A103&gt;12,MOD(A103,12)=Předpoklady!$B$8),Předpoklady!$B$14,0)</f>
        <v>0</v>
      </c>
      <c r="I103" s="19" t="n">
        <f aca="false">I102+H103</f>
        <v>57600</v>
      </c>
      <c r="J103" s="19" t="n">
        <f aca="false">J102*(1+Předpoklady!$B$12)*(1-Předpoklady!$B$9/12)+H103</f>
        <v>73814.2995835022</v>
      </c>
      <c r="K103" s="19" t="n">
        <f aca="false">K102+D103*E103/12</f>
        <v>12347.5583649139</v>
      </c>
      <c r="L103" s="19" t="n">
        <f aca="false">L102+((G102+C103)+J102)*(1+Předpoklady!$B$12)*Předpoklady!$B$9/12</f>
        <v>7143.09814281105</v>
      </c>
      <c r="M103" s="19" t="n">
        <f aca="false">(O102+C103)*(1+Předpoklady!$B$12)</f>
        <v>535815.300237689</v>
      </c>
      <c r="N103" s="13" t="n">
        <f aca="false">INDEX(Předpoklady!$D$18:$D$21,MATCH(M103,Předpoklady!$A$18:$A$21,1))</f>
        <v>0.0056</v>
      </c>
      <c r="O103" s="19" t="n">
        <f aca="false">M103*(1-N103/12)</f>
        <v>535565.253097578</v>
      </c>
      <c r="P103" s="19" t="n">
        <f aca="false">P102+M103*N103/12</f>
        <v>14361.9910983462</v>
      </c>
    </row>
    <row r="104" customFormat="false" ht="15" hidden="false" customHeight="false" outlineLevel="0" collapsed="false">
      <c r="A104" s="18" t="n">
        <v>103</v>
      </c>
      <c r="B104" s="18" t="n">
        <f aca="false">ROUNDUP(A104/12,0)</f>
        <v>9</v>
      </c>
      <c r="C104" s="17" t="n">
        <f aca="false">Předpoklady!$B$4</f>
        <v>4000</v>
      </c>
      <c r="D104" s="19" t="n">
        <f aca="false">(F103+C104)*(1+Předpoklady!$B$12)</f>
        <v>545079.017123917</v>
      </c>
      <c r="E104" s="13" t="n">
        <f aca="false">INDEX(Předpoklady!$C$18:$C$21,MATCH(D104,Předpoklady!$A$18:$A$21,1))</f>
        <v>0.0048</v>
      </c>
      <c r="F104" s="19" t="n">
        <f aca="false">D104*(1-E104/12)</f>
        <v>544860.985517067</v>
      </c>
      <c r="G104" s="19" t="n">
        <f aca="false">(G103+C104)*(1+Předpoklady!$B$12)*(1-Předpoklady!$B$9/12)</f>
        <v>552254.407588087</v>
      </c>
      <c r="H104" s="19" t="n">
        <f aca="false">IF(AND(A104&gt;12,MOD(A104,12)=Předpoklady!$B$8),Předpoklady!$B$14,0)</f>
        <v>0</v>
      </c>
      <c r="I104" s="19" t="n">
        <f aca="false">I103+H104</f>
        <v>57600</v>
      </c>
      <c r="J104" s="19" t="n">
        <f aca="false">J103*(1+Předpoklady!$B$12)*(1-Předpoklady!$B$9/12)+H104</f>
        <v>74213.0984509256</v>
      </c>
      <c r="K104" s="19" t="n">
        <f aca="false">K103+D104*E104/12</f>
        <v>12565.5899717634</v>
      </c>
      <c r="L104" s="19" t="n">
        <f aca="false">L103+((G103+C104)+J103)*(1+Předpoklady!$B$12)*Předpoklady!$B$9/12</f>
        <v>7299.75418333093</v>
      </c>
      <c r="M104" s="19" t="n">
        <f aca="false">(O103+C104)*(1+Předpoklady!$B$12)</f>
        <v>542616.033484584</v>
      </c>
      <c r="N104" s="13" t="n">
        <f aca="false">INDEX(Předpoklady!$D$18:$D$21,MATCH(M104,Předpoklady!$A$18:$A$21,1))</f>
        <v>0.0056</v>
      </c>
      <c r="O104" s="19" t="n">
        <f aca="false">M104*(1-N104/12)</f>
        <v>542362.812668958</v>
      </c>
      <c r="P104" s="19" t="n">
        <f aca="false">P103+M104*N104/12</f>
        <v>14615.2119139724</v>
      </c>
    </row>
    <row r="105" customFormat="false" ht="15" hidden="false" customHeight="false" outlineLevel="0" collapsed="false">
      <c r="A105" s="18" t="n">
        <v>104</v>
      </c>
      <c r="B105" s="18" t="n">
        <f aca="false">ROUNDUP(A105/12,0)</f>
        <v>9</v>
      </c>
      <c r="C105" s="17" t="n">
        <f aca="false">Předpoklady!$B$4</f>
        <v>4000</v>
      </c>
      <c r="D105" s="19" t="n">
        <f aca="false">(F104+C105)*(1+Předpoklady!$B$12)</f>
        <v>551964.325326655</v>
      </c>
      <c r="E105" s="13" t="n">
        <f aca="false">INDEX(Předpoklady!$C$18:$C$21,MATCH(D105,Předpoklady!$A$18:$A$21,1))</f>
        <v>0.0048</v>
      </c>
      <c r="F105" s="19" t="n">
        <f aca="false">D105*(1-E105/12)</f>
        <v>551743.539596525</v>
      </c>
      <c r="G105" s="19" t="n">
        <f aca="false">(G104+C105)*(1+Předpoklady!$B$12)*(1-Předpoklady!$B$9/12)</f>
        <v>559259.700993255</v>
      </c>
      <c r="H105" s="19" t="n">
        <f aca="false">IF(AND(A105&gt;12,MOD(A105,12)=Předpoklady!$B$8),Předpoklady!$B$14,0)</f>
        <v>0</v>
      </c>
      <c r="I105" s="19" t="n">
        <f aca="false">I104+H105</f>
        <v>57600</v>
      </c>
      <c r="J105" s="19" t="n">
        <f aca="false">J104*(1+Předpoklady!$B$12)*(1-Předpoklady!$B$9/12)+H105</f>
        <v>74614.0519216921</v>
      </c>
      <c r="K105" s="19" t="n">
        <f aca="false">K104+D105*E105/12</f>
        <v>12786.3757018941</v>
      </c>
      <c r="L105" s="19" t="n">
        <f aca="false">L104+((G104+C105)+J104)*(1+Předpoklady!$B$12)*Předpoklady!$B$9/12</f>
        <v>7458.26224857598</v>
      </c>
      <c r="M105" s="19" t="n">
        <f aca="false">(O104+C105)*(1+Předpoklady!$B$12)</f>
        <v>549452.02744606</v>
      </c>
      <c r="N105" s="13" t="n">
        <f aca="false">INDEX(Předpoklady!$D$18:$D$21,MATCH(M105,Předpoklady!$A$18:$A$21,1))</f>
        <v>0.0056</v>
      </c>
      <c r="O105" s="19" t="n">
        <f aca="false">M105*(1-N105/12)</f>
        <v>549195.616499918</v>
      </c>
      <c r="P105" s="19" t="n">
        <f aca="false">P104+M105*N105/12</f>
        <v>14871.6228601139</v>
      </c>
    </row>
    <row r="106" customFormat="false" ht="15" hidden="false" customHeight="false" outlineLevel="0" collapsed="false">
      <c r="A106" s="18" t="n">
        <v>105</v>
      </c>
      <c r="B106" s="18" t="n">
        <f aca="false">ROUNDUP(A106/12,0)</f>
        <v>9</v>
      </c>
      <c r="C106" s="17" t="n">
        <f aca="false">Předpoklady!$B$4</f>
        <v>4000</v>
      </c>
      <c r="D106" s="19" t="n">
        <f aca="false">(F105+C106)*(1+Předpoklady!$B$12)</f>
        <v>558885.794367515</v>
      </c>
      <c r="E106" s="13" t="n">
        <f aca="false">INDEX(Předpoklady!$C$18:$C$21,MATCH(D106,Předpoklady!$A$18:$A$21,1))</f>
        <v>0.0048</v>
      </c>
      <c r="F106" s="19" t="n">
        <f aca="false">D106*(1-E106/12)</f>
        <v>558662.240049768</v>
      </c>
      <c r="G106" s="19" t="n">
        <f aca="false">(G105+C106)*(1+Předpoklady!$B$12)*(1-Předpoklady!$B$9/12)</f>
        <v>566302.842120229</v>
      </c>
      <c r="H106" s="19" t="n">
        <f aca="false">IF(AND(A106&gt;12,MOD(A106,12)=Předpoklady!$B$8),Předpoklady!$B$14,0)</f>
        <v>0</v>
      </c>
      <c r="I106" s="19" t="n">
        <f aca="false">I105+H106</f>
        <v>57600</v>
      </c>
      <c r="J106" s="19" t="n">
        <f aca="false">J105*(1+Předpoklady!$B$12)*(1-Předpoklady!$B$9/12)+H106</f>
        <v>75017.171636546</v>
      </c>
      <c r="K106" s="19" t="n">
        <f aca="false">K105+D106*E106/12</f>
        <v>13009.9300196411</v>
      </c>
      <c r="L106" s="19" t="n">
        <f aca="false">L105+((G105+C106)+J105)*(1+Předpoklady!$B$12)*Předpoklady!$B$9/12</f>
        <v>7618.63234453916</v>
      </c>
      <c r="M106" s="19" t="n">
        <f aca="false">(O105+C106)*(1+Předpoklady!$B$12)</f>
        <v>556323.464943284</v>
      </c>
      <c r="N106" s="13" t="n">
        <f aca="false">INDEX(Předpoklady!$D$18:$D$21,MATCH(M106,Předpoklady!$A$18:$A$21,1))</f>
        <v>0.0056</v>
      </c>
      <c r="O106" s="19" t="n">
        <f aca="false">M106*(1-N106/12)</f>
        <v>556063.847326311</v>
      </c>
      <c r="P106" s="19" t="n">
        <f aca="false">P105+M106*N106/12</f>
        <v>15131.2404770874</v>
      </c>
    </row>
    <row r="107" customFormat="false" ht="15" hidden="false" customHeight="false" outlineLevel="0" collapsed="false">
      <c r="A107" s="18" t="n">
        <v>106</v>
      </c>
      <c r="B107" s="18" t="n">
        <f aca="false">ROUNDUP(A107/12,0)</f>
        <v>9</v>
      </c>
      <c r="C107" s="17" t="n">
        <f aca="false">Předpoklady!$B$4</f>
        <v>4000</v>
      </c>
      <c r="D107" s="19" t="n">
        <f aca="false">(F106+C107)*(1+Předpoklady!$B$12)</f>
        <v>565843.614159012</v>
      </c>
      <c r="E107" s="13" t="n">
        <f aca="false">INDEX(Předpoklady!$C$18:$C$21,MATCH(D107,Předpoklady!$A$18:$A$21,1))</f>
        <v>0.0048</v>
      </c>
      <c r="F107" s="19" t="n">
        <f aca="false">D107*(1-E107/12)</f>
        <v>565617.276713349</v>
      </c>
      <c r="G107" s="19" t="n">
        <f aca="false">(G106+C107)*(1+Předpoklady!$B$12)*(1-Předpoklady!$B$9/12)</f>
        <v>573384.035450101</v>
      </c>
      <c r="H107" s="19" t="n">
        <f aca="false">IF(AND(A107&gt;12,MOD(A107,12)=Předpoklady!$B$8),Předpoklady!$B$14,0)</f>
        <v>0</v>
      </c>
      <c r="I107" s="19" t="n">
        <f aca="false">I106+H107</f>
        <v>57600</v>
      </c>
      <c r="J107" s="19" t="n">
        <f aca="false">J106*(1+Předpoklady!$B$12)*(1-Předpoklady!$B$9/12)+H107</f>
        <v>75422.4692991231</v>
      </c>
      <c r="K107" s="19" t="n">
        <f aca="false">K106+D107*E107/12</f>
        <v>13236.2674653047</v>
      </c>
      <c r="L107" s="19" t="n">
        <f aca="false">L106+((G106+C107)+J106)*(1+Předpoklady!$B$12)*Předpoklady!$B$9/12</f>
        <v>7780.87453127315</v>
      </c>
      <c r="M107" s="19" t="n">
        <f aca="false">(O106+C107)*(1+Předpoklady!$B$12)</f>
        <v>563230.529745323</v>
      </c>
      <c r="N107" s="13" t="n">
        <f aca="false">INDEX(Předpoklady!$D$18:$D$21,MATCH(M107,Předpoklady!$A$18:$A$21,1))</f>
        <v>0.0056</v>
      </c>
      <c r="O107" s="19" t="n">
        <f aca="false">M107*(1-N107/12)</f>
        <v>562967.688831442</v>
      </c>
      <c r="P107" s="19" t="n">
        <f aca="false">P106+M107*N107/12</f>
        <v>15394.0813909686</v>
      </c>
    </row>
    <row r="108" customFormat="false" ht="15" hidden="false" customHeight="false" outlineLevel="0" collapsed="false">
      <c r="A108" s="18" t="n">
        <v>107</v>
      </c>
      <c r="B108" s="18" t="n">
        <f aca="false">ROUNDUP(A108/12,0)</f>
        <v>9</v>
      </c>
      <c r="C108" s="17" t="n">
        <f aca="false">Předpoklady!$B$4</f>
        <v>4000</v>
      </c>
      <c r="D108" s="19" t="n">
        <f aca="false">(F107+C108)*(1+Předpoklady!$B$12)</f>
        <v>572837.975611064</v>
      </c>
      <c r="E108" s="13" t="n">
        <f aca="false">INDEX(Předpoklady!$C$18:$C$21,MATCH(D108,Předpoklady!$A$18:$A$21,1))</f>
        <v>0.0048</v>
      </c>
      <c r="F108" s="19" t="n">
        <f aca="false">D108*(1-E108/12)</f>
        <v>572608.840420819</v>
      </c>
      <c r="G108" s="19" t="n">
        <f aca="false">(G107+C108)*(1+Předpoklady!$B$12)*(1-Předpoklady!$B$9/12)</f>
        <v>580503.48656872</v>
      </c>
      <c r="H108" s="19" t="n">
        <f aca="false">IF(AND(A108&gt;12,MOD(A108,12)=Předpoklady!$B$8),Předpoklady!$B$14,0)</f>
        <v>0</v>
      </c>
      <c r="I108" s="19" t="n">
        <f aca="false">I107+H108</f>
        <v>57600</v>
      </c>
      <c r="J108" s="19" t="n">
        <f aca="false">J107*(1+Předpoklady!$B$12)*(1-Předpoklady!$B$9/12)+H108</f>
        <v>75829.9566762909</v>
      </c>
      <c r="K108" s="19" t="n">
        <f aca="false">K107+D108*E108/12</f>
        <v>13465.4026555491</v>
      </c>
      <c r="L108" s="19" t="n">
        <f aca="false">L107+((G107+C108)+J107)*(1+Předpoklady!$B$12)*Předpoklady!$B$9/12</f>
        <v>7944.99892318238</v>
      </c>
      <c r="M108" s="19" t="n">
        <f aca="false">(O107+C108)*(1+Předpoklady!$B$12)</f>
        <v>570173.406574056</v>
      </c>
      <c r="N108" s="13" t="n">
        <f aca="false">INDEX(Předpoklady!$D$18:$D$21,MATCH(M108,Předpoklady!$A$18:$A$21,1))</f>
        <v>0.0056</v>
      </c>
      <c r="O108" s="19" t="n">
        <f aca="false">M108*(1-N108/12)</f>
        <v>569907.325650988</v>
      </c>
      <c r="P108" s="19" t="n">
        <f aca="false">P107+M108*N108/12</f>
        <v>15660.1623140364</v>
      </c>
    </row>
    <row r="109" customFormat="false" ht="15" hidden="false" customHeight="false" outlineLevel="0" collapsed="false">
      <c r="A109" s="18" t="n">
        <v>108</v>
      </c>
      <c r="B109" s="18" t="n">
        <f aca="false">ROUNDUP(A109/12,0)</f>
        <v>9</v>
      </c>
      <c r="C109" s="17" t="n">
        <f aca="false">Předpoklady!$B$4</f>
        <v>4000</v>
      </c>
      <c r="D109" s="19" t="n">
        <f aca="false">(F108+C109)*(1+Předpoklady!$B$12)</f>
        <v>579869.070636222</v>
      </c>
      <c r="E109" s="13" t="n">
        <f aca="false">INDEX(Předpoklady!$C$18:$C$21,MATCH(D109,Předpoklady!$A$18:$A$21,1))</f>
        <v>0.0048</v>
      </c>
      <c r="F109" s="19" t="n">
        <f aca="false">D109*(1-E109/12)</f>
        <v>579637.123007967</v>
      </c>
      <c r="G109" s="19" t="n">
        <f aca="false">(G108+C109)*(1+Předpoklady!$B$12)*(1-Předpoklady!$B$9/12)</f>
        <v>587661.402172659</v>
      </c>
      <c r="H109" s="19" t="n">
        <f aca="false">IF(AND(A109&gt;12,MOD(A109,12)=Předpoklady!$B$8),Předpoklady!$B$14,0)</f>
        <v>0</v>
      </c>
      <c r="I109" s="19" t="n">
        <f aca="false">I108+H109</f>
        <v>57600</v>
      </c>
      <c r="J109" s="19" t="n">
        <f aca="false">J108*(1+Předpoklady!$B$12)*(1-Předpoklady!$B$9/12)+H109</f>
        <v>76239.6455984903</v>
      </c>
      <c r="K109" s="19" t="n">
        <f aca="false">K108+D109*E109/12</f>
        <v>13697.3502838036</v>
      </c>
      <c r="L109" s="19" t="n">
        <f aca="false">L108+((G108+C109)+J108)*(1+Předpoklady!$B$12)*Předpoklady!$B$9/12</f>
        <v>8111.0156893167</v>
      </c>
      <c r="M109" s="19" t="n">
        <f aca="false">(O108+C109)*(1+Předpoklady!$B$12)</f>
        <v>577152.281109116</v>
      </c>
      <c r="N109" s="13" t="n">
        <f aca="false">INDEX(Předpoklady!$D$18:$D$21,MATCH(M109,Předpoklady!$A$18:$A$21,1))</f>
        <v>0.0056</v>
      </c>
      <c r="O109" s="19" t="n">
        <f aca="false">M109*(1-N109/12)</f>
        <v>576882.943377932</v>
      </c>
      <c r="P109" s="19" t="n">
        <f aca="false">P108+M109*N109/12</f>
        <v>15929.5000452207</v>
      </c>
    </row>
    <row r="110" customFormat="false" ht="15" hidden="false" customHeight="false" outlineLevel="0" collapsed="false">
      <c r="A110" s="18" t="n">
        <v>109</v>
      </c>
      <c r="B110" s="18" t="n">
        <f aca="false">ROUNDUP(A110/12,0)</f>
        <v>10</v>
      </c>
      <c r="C110" s="17" t="n">
        <f aca="false">Předpoklady!$B$4</f>
        <v>4000</v>
      </c>
      <c r="D110" s="19" t="n">
        <f aca="false">(F109+C110)*(1+Předpoklady!$B$12)</f>
        <v>586937.092154941</v>
      </c>
      <c r="E110" s="13" t="n">
        <f aca="false">INDEX(Předpoklady!$C$18:$C$21,MATCH(D110,Předpoklady!$A$18:$A$21,1))</f>
        <v>0.0048</v>
      </c>
      <c r="F110" s="19" t="n">
        <f aca="false">D110*(1-E110/12)</f>
        <v>586702.317318079</v>
      </c>
      <c r="G110" s="19" t="n">
        <f aca="false">(G109+C110)*(1+Předpoklady!$B$12)*(1-Předpoklady!$B$9/12)</f>
        <v>594857.990075219</v>
      </c>
      <c r="H110" s="19" t="n">
        <f aca="false">IF(AND(A110&gt;12,MOD(A110,12)=Předpoklady!$B$8),Předpoklady!$B$14,0)</f>
        <v>0</v>
      </c>
      <c r="I110" s="19" t="n">
        <f aca="false">I109+H110</f>
        <v>57600</v>
      </c>
      <c r="J110" s="19" t="n">
        <f aca="false">J109*(1+Předpoklady!$B$12)*(1-Předpoklady!$B$9/12)+H110</f>
        <v>76651.5479600787</v>
      </c>
      <c r="K110" s="19" t="n">
        <f aca="false">K109+D110*E110/12</f>
        <v>13932.1251206656</v>
      </c>
      <c r="L110" s="19" t="n">
        <f aca="false">L109+((G109+C110)+J109)*(1+Předpoklady!$B$12)*Předpoklady!$B$9/12</f>
        <v>8278.93505366662</v>
      </c>
      <c r="M110" s="19" t="n">
        <f aca="false">(O109+C110)*(1+Předpoklady!$B$12)</f>
        <v>584167.339992855</v>
      </c>
      <c r="N110" s="13" t="n">
        <f aca="false">INDEX(Předpoklady!$D$18:$D$21,MATCH(M110,Předpoklady!$A$18:$A$21,1))</f>
        <v>0.0056</v>
      </c>
      <c r="O110" s="19" t="n">
        <f aca="false">M110*(1-N110/12)</f>
        <v>583894.728567525</v>
      </c>
      <c r="P110" s="19" t="n">
        <f aca="false">P109+M110*N110/12</f>
        <v>16202.1114705507</v>
      </c>
    </row>
    <row r="111" customFormat="false" ht="15" hidden="false" customHeight="false" outlineLevel="0" collapsed="false">
      <c r="A111" s="18" t="n">
        <v>110</v>
      </c>
      <c r="B111" s="18" t="n">
        <f aca="false">ROUNDUP(A111/12,0)</f>
        <v>10</v>
      </c>
      <c r="C111" s="17" t="n">
        <f aca="false">Předpoklady!$B$4</f>
        <v>4000</v>
      </c>
      <c r="D111" s="19" t="n">
        <f aca="false">(F110+C111)*(1+Předpoklady!$B$12)</f>
        <v>594042.234100873</v>
      </c>
      <c r="E111" s="13" t="n">
        <f aca="false">INDEX(Předpoklady!$C$18:$C$21,MATCH(D111,Předpoklady!$A$18:$A$21,1))</f>
        <v>0.0048</v>
      </c>
      <c r="F111" s="19" t="n">
        <f aca="false">D111*(1-E111/12)</f>
        <v>593804.617207233</v>
      </c>
      <c r="G111" s="19" t="n">
        <f aca="false">(G110+C111)*(1+Předpoklady!$B$12)*(1-Předpoklady!$B$9/12)</f>
        <v>602093.45921246</v>
      </c>
      <c r="H111" s="19" t="n">
        <f aca="false">IF(AND(A111&gt;12,MOD(A111,12)=Předpoklady!$B$8),Předpoklady!$B$14,0)</f>
        <v>0</v>
      </c>
      <c r="I111" s="19" t="n">
        <f aca="false">I110+H111</f>
        <v>57600</v>
      </c>
      <c r="J111" s="19" t="n">
        <f aca="false">J110*(1+Předpoklady!$B$12)*(1-Předpoklady!$B$9/12)+H111</f>
        <v>77065.6757196755</v>
      </c>
      <c r="K111" s="19" t="n">
        <f aca="false">K110+D111*E111/12</f>
        <v>14169.7420143059</v>
      </c>
      <c r="L111" s="19" t="n">
        <f aca="false">L110+((G110+C111)+J110)*(1+Předpoklady!$B$12)*Předpoklady!$B$9/12</f>
        <v>8448.7672954601</v>
      </c>
      <c r="M111" s="19" t="n">
        <f aca="false">(O110+C111)*(1+Předpoklady!$B$12)</f>
        <v>591218.770835335</v>
      </c>
      <c r="N111" s="13" t="n">
        <f aca="false">INDEX(Předpoklady!$D$18:$D$21,MATCH(M111,Předpoklady!$A$18:$A$21,1))</f>
        <v>0.0056</v>
      </c>
      <c r="O111" s="19" t="n">
        <f aca="false">M111*(1-N111/12)</f>
        <v>590942.868742278</v>
      </c>
      <c r="P111" s="19" t="n">
        <f aca="false">P110+M111*N111/12</f>
        <v>16478.0135636072</v>
      </c>
    </row>
    <row r="112" customFormat="false" ht="15" hidden="false" customHeight="false" outlineLevel="0" collapsed="false">
      <c r="A112" s="18" t="n">
        <v>111</v>
      </c>
      <c r="B112" s="18" t="n">
        <f aca="false">ROUNDUP(A112/12,0)</f>
        <v>10</v>
      </c>
      <c r="C112" s="17" t="n">
        <f aca="false">Předpoklady!$B$4</f>
        <v>4000</v>
      </c>
      <c r="D112" s="19" t="n">
        <f aca="false">(F111+C112)*(1+Předpoklady!$B$12)</f>
        <v>601184.691426185</v>
      </c>
      <c r="E112" s="13" t="n">
        <f aca="false">INDEX(Předpoklady!$C$18:$C$21,MATCH(D112,Předpoklady!$A$18:$A$21,1))</f>
        <v>0.0048</v>
      </c>
      <c r="F112" s="19" t="n">
        <f aca="false">D112*(1-E112/12)</f>
        <v>600944.217549614</v>
      </c>
      <c r="G112" s="19" t="n">
        <f aca="false">(G111+C112)*(1+Předpoklady!$B$12)*(1-Předpoklady!$B$9/12)</f>
        <v>609368.019649265</v>
      </c>
      <c r="H112" s="19" t="n">
        <f aca="false">IF(AND(A112&gt;12,MOD(A112,12)=Předpoklady!$B$8),Předpoklady!$B$14,0)</f>
        <v>0</v>
      </c>
      <c r="I112" s="19" t="n">
        <f aca="false">I111+H112</f>
        <v>57600</v>
      </c>
      <c r="J112" s="19" t="n">
        <f aca="false">J111*(1+Předpoklady!$B$12)*(1-Předpoklady!$B$9/12)+H112</f>
        <v>77482.0409005096</v>
      </c>
      <c r="K112" s="19" t="n">
        <f aca="false">K111+D112*E112/12</f>
        <v>14410.2158908764</v>
      </c>
      <c r="L112" s="19" t="n">
        <f aca="false">L111+((G111+C112)+J111)*(1+Předpoklady!$B$12)*Předpoklady!$B$9/12</f>
        <v>8620.52274946104</v>
      </c>
      <c r="M112" s="19" t="n">
        <f aca="false">(O111+C112)*(1+Předpoklady!$B$12)</f>
        <v>598306.762219347</v>
      </c>
      <c r="N112" s="13" t="n">
        <f aca="false">INDEX(Předpoklady!$D$18:$D$21,MATCH(M112,Předpoklady!$A$18:$A$21,1))</f>
        <v>0.0056</v>
      </c>
      <c r="O112" s="19" t="n">
        <f aca="false">M112*(1-N112/12)</f>
        <v>598027.552396978</v>
      </c>
      <c r="P112" s="19" t="n">
        <f aca="false">P111+M112*N112/12</f>
        <v>16757.2233859762</v>
      </c>
    </row>
    <row r="113" customFormat="false" ht="15" hidden="false" customHeight="false" outlineLevel="0" collapsed="false">
      <c r="A113" s="18" t="n">
        <v>112</v>
      </c>
      <c r="B113" s="18" t="n">
        <f aca="false">ROUNDUP(A113/12,0)</f>
        <v>10</v>
      </c>
      <c r="C113" s="17" t="n">
        <f aca="false">Předpoklady!$B$4</f>
        <v>4000</v>
      </c>
      <c r="D113" s="19" t="n">
        <f aca="false">(F112+C113)*(1+Předpoklady!$B$12)</f>
        <v>608364.66010691</v>
      </c>
      <c r="E113" s="13" t="n">
        <f aca="false">INDEX(Předpoklady!$C$18:$C$21,MATCH(D113,Předpoklady!$A$18:$A$21,1))</f>
        <v>0.0048</v>
      </c>
      <c r="F113" s="19" t="n">
        <f aca="false">D113*(1-E113/12)</f>
        <v>608121.314242867</v>
      </c>
      <c r="G113" s="19" t="n">
        <f aca="false">(G112+C113)*(1+Předpoklady!$B$12)*(1-Předpoklady!$B$9/12)</f>
        <v>616681.882585445</v>
      </c>
      <c r="H113" s="19" t="n">
        <f aca="false">IF(AND(A113&gt;12,MOD(A113,12)=Předpoklady!$B$8),Předpoklady!$B$14,0)</f>
        <v>7200</v>
      </c>
      <c r="I113" s="19" t="n">
        <f aca="false">I112+H113</f>
        <v>64800</v>
      </c>
      <c r="J113" s="19" t="n">
        <f aca="false">J112*(1+Předpoklady!$B$12)*(1-Předpoklady!$B$9/12)+H113</f>
        <v>85100.6555907678</v>
      </c>
      <c r="K113" s="19" t="n">
        <f aca="false">K112+D113*E113/12</f>
        <v>14653.5617549192</v>
      </c>
      <c r="L113" s="19" t="n">
        <f aca="false">L112+((G112+C113)+J112)*(1+Předpoklady!$B$12)*Předpoklady!$B$9/12</f>
        <v>8794.2118062693</v>
      </c>
      <c r="M113" s="19" t="n">
        <f aca="false">(O112+C113)*(1+Předpoklady!$B$12)</f>
        <v>605431.503705454</v>
      </c>
      <c r="N113" s="13" t="n">
        <f aca="false">INDEX(Předpoklady!$D$18:$D$21,MATCH(M113,Předpoklady!$A$18:$A$21,1))</f>
        <v>0.0056</v>
      </c>
      <c r="O113" s="19" t="n">
        <f aca="false">M113*(1-N113/12)</f>
        <v>605148.969003725</v>
      </c>
      <c r="P113" s="19" t="n">
        <f aca="false">P112+M113*N113/12</f>
        <v>17039.7580877054</v>
      </c>
    </row>
    <row r="114" customFormat="false" ht="15" hidden="false" customHeight="false" outlineLevel="0" collapsed="false">
      <c r="A114" s="18" t="n">
        <v>113</v>
      </c>
      <c r="B114" s="18" t="n">
        <f aca="false">ROUNDUP(A114/12,0)</f>
        <v>10</v>
      </c>
      <c r="C114" s="17" t="n">
        <f aca="false">Předpoklady!$B$4</f>
        <v>4000</v>
      </c>
      <c r="D114" s="19" t="n">
        <f aca="false">(F113+C114)*(1+Předpoklady!$B$12)</f>
        <v>615582.337148326</v>
      </c>
      <c r="E114" s="13" t="n">
        <f aca="false">INDEX(Předpoklady!$C$18:$C$21,MATCH(D114,Předpoklady!$A$18:$A$21,1))</f>
        <v>0.0048</v>
      </c>
      <c r="F114" s="19" t="n">
        <f aca="false">D114*(1-E114/12)</f>
        <v>615336.104213466</v>
      </c>
      <c r="G114" s="19" t="n">
        <f aca="false">(G113+C114)*(1+Předpoklady!$B$12)*(1-Předpoklady!$B$9/12)</f>
        <v>624035.260361864</v>
      </c>
      <c r="H114" s="19" t="n">
        <f aca="false">IF(AND(A114&gt;12,MOD(A114,12)=Předpoklady!$B$8),Předpoklady!$B$14,0)</f>
        <v>0</v>
      </c>
      <c r="I114" s="19" t="n">
        <f aca="false">I113+H114</f>
        <v>64800</v>
      </c>
      <c r="J114" s="19" t="n">
        <f aca="false">J113*(1+Předpoklady!$B$12)*(1-Předpoklady!$B$9/12)+H114</f>
        <v>85560.431613274</v>
      </c>
      <c r="K114" s="19" t="n">
        <f aca="false">K113+D114*E114/12</f>
        <v>14899.7946897785</v>
      </c>
      <c r="L114" s="19" t="n">
        <f aca="false">L113+((G113+C114)+J113)*(1+Předpoklady!$B$12)*Předpoklady!$B$9/12</f>
        <v>8971.65509008403</v>
      </c>
      <c r="M114" s="19" t="n">
        <f aca="false">(O113+C114)*(1+Předpoklady!$B$12)</f>
        <v>612593.18583706</v>
      </c>
      <c r="N114" s="13" t="n">
        <f aca="false">INDEX(Předpoklady!$D$18:$D$21,MATCH(M114,Předpoklady!$A$18:$A$21,1))</f>
        <v>0.0056</v>
      </c>
      <c r="O114" s="19" t="n">
        <f aca="false">M114*(1-N114/12)</f>
        <v>612307.309017003</v>
      </c>
      <c r="P114" s="19" t="n">
        <f aca="false">P113+M114*N114/12</f>
        <v>17325.6349077627</v>
      </c>
    </row>
    <row r="115" customFormat="false" ht="15" hidden="false" customHeight="false" outlineLevel="0" collapsed="false">
      <c r="A115" s="18" t="n">
        <v>114</v>
      </c>
      <c r="B115" s="18" t="n">
        <f aca="false">ROUNDUP(A115/12,0)</f>
        <v>10</v>
      </c>
      <c r="C115" s="17" t="n">
        <f aca="false">Předpoklady!$B$4</f>
        <v>4000</v>
      </c>
      <c r="D115" s="19" t="n">
        <f aca="false">(F114+C115)*(1+Předpoklady!$B$12)</f>
        <v>622837.920590359</v>
      </c>
      <c r="E115" s="13" t="n">
        <f aca="false">INDEX(Předpoklady!$C$18:$C$21,MATCH(D115,Předpoklady!$A$18:$A$21,1))</f>
        <v>0.0048</v>
      </c>
      <c r="F115" s="19" t="n">
        <f aca="false">D115*(1-E115/12)</f>
        <v>622588.785422123</v>
      </c>
      <c r="G115" s="19" t="n">
        <f aca="false">(G114+C115)*(1+Předpoklady!$B$12)*(1-Předpoklady!$B$9/12)</f>
        <v>631428.366466609</v>
      </c>
      <c r="H115" s="19" t="n">
        <f aca="false">IF(AND(A115&gt;12,MOD(A115,12)=Předpoklady!$B$8),Předpoklady!$B$14,0)</f>
        <v>0</v>
      </c>
      <c r="I115" s="19" t="n">
        <f aca="false">I114+H115</f>
        <v>64800</v>
      </c>
      <c r="J115" s="19" t="n">
        <f aca="false">J114*(1+Předpoklady!$B$12)*(1-Předpoklady!$B$9/12)+H115</f>
        <v>86022.6916823413</v>
      </c>
      <c r="K115" s="19" t="n">
        <f aca="false">K114+D115*E115/12</f>
        <v>15148.9298580147</v>
      </c>
      <c r="L115" s="19" t="n">
        <f aca="false">L114+((G114+C115)+J114)*(1+Předpoklady!$B$12)*Předpoklady!$B$9/12</f>
        <v>9151.06270652538</v>
      </c>
      <c r="M115" s="19" t="n">
        <f aca="false">(O114+C115)*(1+Předpoklady!$B$12)</f>
        <v>619792.000145505</v>
      </c>
      <c r="N115" s="13" t="n">
        <f aca="false">INDEX(Předpoklady!$D$18:$D$21,MATCH(M115,Předpoklady!$A$18:$A$21,1))</f>
        <v>0.0056</v>
      </c>
      <c r="O115" s="19" t="n">
        <f aca="false">M115*(1-N115/12)</f>
        <v>619502.763878771</v>
      </c>
      <c r="P115" s="19" t="n">
        <f aca="false">P114+M115*N115/12</f>
        <v>17614.8711744973</v>
      </c>
    </row>
    <row r="116" customFormat="false" ht="15" hidden="false" customHeight="false" outlineLevel="0" collapsed="false">
      <c r="A116" s="18" t="n">
        <v>115</v>
      </c>
      <c r="B116" s="18" t="n">
        <f aca="false">ROUNDUP(A116/12,0)</f>
        <v>10</v>
      </c>
      <c r="C116" s="17" t="n">
        <f aca="false">Předpoklady!$B$4</f>
        <v>4000</v>
      </c>
      <c r="D116" s="19" t="n">
        <f aca="false">(F115+C116)*(1+Předpoklady!$B$12)</f>
        <v>630131.609513017</v>
      </c>
      <c r="E116" s="13" t="n">
        <f aca="false">INDEX(Předpoklady!$C$18:$C$21,MATCH(D116,Předpoklady!$A$18:$A$21,1))</f>
        <v>0.0048</v>
      </c>
      <c r="F116" s="19" t="n">
        <f aca="false">D116*(1-E116/12)</f>
        <v>629879.556869212</v>
      </c>
      <c r="G116" s="19" t="n">
        <f aca="false">(G115+C116)*(1+Předpoklady!$B$12)*(1-Předpoklady!$B$9/12)</f>
        <v>638861.415541184</v>
      </c>
      <c r="H116" s="19" t="n">
        <f aca="false">IF(AND(A116&gt;12,MOD(A116,12)=Předpoklady!$B$8),Předpoklady!$B$14,0)</f>
        <v>0</v>
      </c>
      <c r="I116" s="19" t="n">
        <f aca="false">I115+H116</f>
        <v>64800</v>
      </c>
      <c r="J116" s="19" t="n">
        <f aca="false">J115*(1+Předpoklady!$B$12)*(1-Předpoklady!$B$9/12)+H116</f>
        <v>86487.4492186073</v>
      </c>
      <c r="K116" s="19" t="n">
        <f aca="false">K115+D116*E116/12</f>
        <v>15400.9825018199</v>
      </c>
      <c r="L116" s="19" t="n">
        <f aca="false">L115+((G115+C116)+J115)*(1+Předpoklady!$B$12)*Předpoklady!$B$9/12</f>
        <v>9332.44526835579</v>
      </c>
      <c r="M116" s="19" t="n">
        <f aca="false">(O115+C116)*(1+Předpoklady!$B$12)</f>
        <v>627028.13915519</v>
      </c>
      <c r="N116" s="13" t="n">
        <f aca="false">INDEX(Předpoklady!$D$18:$D$21,MATCH(M116,Předpoklady!$A$18:$A$21,1))</f>
        <v>0.0056</v>
      </c>
      <c r="O116" s="19" t="n">
        <f aca="false">M116*(1-N116/12)</f>
        <v>626735.526023585</v>
      </c>
      <c r="P116" s="19" t="n">
        <f aca="false">P115+M116*N116/12</f>
        <v>17907.4843061031</v>
      </c>
    </row>
    <row r="117" customFormat="false" ht="15" hidden="false" customHeight="false" outlineLevel="0" collapsed="false">
      <c r="A117" s="18" t="n">
        <v>116</v>
      </c>
      <c r="B117" s="18" t="n">
        <f aca="false">ROUNDUP(A117/12,0)</f>
        <v>10</v>
      </c>
      <c r="C117" s="17" t="n">
        <f aca="false">Předpoklady!$B$4</f>
        <v>4000</v>
      </c>
      <c r="D117" s="19" t="n">
        <f aca="false">(F116+C117)*(1+Předpoklady!$B$12)</f>
        <v>637463.604041854</v>
      </c>
      <c r="E117" s="13" t="n">
        <f aca="false">INDEX(Předpoklady!$C$18:$C$21,MATCH(D117,Předpoklady!$A$18:$A$21,1))</f>
        <v>0.0048</v>
      </c>
      <c r="F117" s="19" t="n">
        <f aca="false">D117*(1-E117/12)</f>
        <v>637208.618600237</v>
      </c>
      <c r="G117" s="19" t="n">
        <f aca="false">(G116+C117)*(1+Předpoklady!$B$12)*(1-Předpoklady!$B$9/12)</f>
        <v>646334.623386745</v>
      </c>
      <c r="H117" s="19" t="n">
        <f aca="false">IF(AND(A117&gt;12,MOD(A117,12)=Předpoklady!$B$8),Předpoklady!$B$14,0)</f>
        <v>0</v>
      </c>
      <c r="I117" s="19" t="n">
        <f aca="false">I116+H117</f>
        <v>64800</v>
      </c>
      <c r="J117" s="19" t="n">
        <f aca="false">J116*(1+Předpoklady!$B$12)*(1-Předpoklady!$B$9/12)+H117</f>
        <v>86954.7177152174</v>
      </c>
      <c r="K117" s="19" t="n">
        <f aca="false">K116+D117*E117/12</f>
        <v>15655.9679434366</v>
      </c>
      <c r="L117" s="19" t="n">
        <f aca="false">L116+((G116+C117)+J116)*(1+Předpoklady!$B$12)*Předpoklady!$B$9/12</f>
        <v>9515.81344567561</v>
      </c>
      <c r="M117" s="19" t="n">
        <f aca="false">(O116+C117)*(1+Předpoklady!$B$12)</f>
        <v>634301.796388724</v>
      </c>
      <c r="N117" s="13" t="n">
        <f aca="false">INDEX(Předpoklady!$D$18:$D$21,MATCH(M117,Předpoklady!$A$18:$A$21,1))</f>
        <v>0.0056</v>
      </c>
      <c r="O117" s="19" t="n">
        <f aca="false">M117*(1-N117/12)</f>
        <v>634005.788883742</v>
      </c>
      <c r="P117" s="19" t="n">
        <f aca="false">P116+M117*N117/12</f>
        <v>18203.4918110845</v>
      </c>
    </row>
    <row r="118" customFormat="false" ht="15" hidden="false" customHeight="false" outlineLevel="0" collapsed="false">
      <c r="A118" s="18" t="n">
        <v>117</v>
      </c>
      <c r="B118" s="18" t="n">
        <f aca="false">ROUNDUP(A118/12,0)</f>
        <v>10</v>
      </c>
      <c r="C118" s="17" t="n">
        <f aca="false">Předpoklady!$B$4</f>
        <v>4000</v>
      </c>
      <c r="D118" s="19" t="n">
        <f aca="false">(F117+C118)*(1+Předpoklady!$B$12)</f>
        <v>644834.10535346</v>
      </c>
      <c r="E118" s="13" t="n">
        <f aca="false">INDEX(Předpoklady!$C$18:$C$21,MATCH(D118,Předpoklady!$A$18:$A$21,1))</f>
        <v>0.0048</v>
      </c>
      <c r="F118" s="19" t="n">
        <f aca="false">D118*(1-E118/12)</f>
        <v>644576.171711319</v>
      </c>
      <c r="G118" s="19" t="n">
        <f aca="false">(G117+C118)*(1+Předpoklady!$B$12)*(1-Předpoklady!$B$9/12)</f>
        <v>653848.206970363</v>
      </c>
      <c r="H118" s="19" t="n">
        <f aca="false">IF(AND(A118&gt;12,MOD(A118,12)=Předpoklady!$B$8),Předpoklady!$B$14,0)</f>
        <v>0</v>
      </c>
      <c r="I118" s="19" t="n">
        <f aca="false">I117+H118</f>
        <v>64800</v>
      </c>
      <c r="J118" s="19" t="n">
        <f aca="false">J117*(1+Předpoklady!$B$12)*(1-Předpoklady!$B$9/12)+H118</f>
        <v>87424.5107382172</v>
      </c>
      <c r="K118" s="19" t="n">
        <f aca="false">K117+D118*E118/12</f>
        <v>15913.901585578</v>
      </c>
      <c r="L118" s="19" t="n">
        <f aca="false">L117+((G117+C118)+J117)*(1+Předpoklady!$B$12)*Předpoklady!$B$9/12</f>
        <v>9701.17796623289</v>
      </c>
      <c r="M118" s="19" t="n">
        <f aca="false">(O117+C118)*(1+Předpoklady!$B$12)</f>
        <v>641613.166372097</v>
      </c>
      <c r="N118" s="13" t="n">
        <f aca="false">INDEX(Předpoklady!$D$18:$D$21,MATCH(M118,Předpoklady!$A$18:$A$21,1))</f>
        <v>0.0056</v>
      </c>
      <c r="O118" s="19" t="n">
        <f aca="false">M118*(1-N118/12)</f>
        <v>641313.746894457</v>
      </c>
      <c r="P118" s="19" t="n">
        <f aca="false">P117+M118*N118/12</f>
        <v>18502.9112887248</v>
      </c>
    </row>
    <row r="119" customFormat="false" ht="15" hidden="false" customHeight="false" outlineLevel="0" collapsed="false">
      <c r="A119" s="18" t="n">
        <v>118</v>
      </c>
      <c r="B119" s="18" t="n">
        <f aca="false">ROUNDUP(A119/12,0)</f>
        <v>10</v>
      </c>
      <c r="C119" s="17" t="n">
        <f aca="false">Předpoklady!$B$4</f>
        <v>4000</v>
      </c>
      <c r="D119" s="19" t="n">
        <f aca="false">(F118+C119)*(1+Předpoklady!$B$12)</f>
        <v>652243.315680982</v>
      </c>
      <c r="E119" s="13" t="n">
        <f aca="false">INDEX(Předpoklady!$C$18:$C$21,MATCH(D119,Předpoklady!$A$18:$A$21,1))</f>
        <v>0.0048</v>
      </c>
      <c r="F119" s="19" t="n">
        <f aca="false">D119*(1-E119/12)</f>
        <v>651982.418354709</v>
      </c>
      <c r="G119" s="19" t="n">
        <f aca="false">(G118+C119)*(1+Předpoklady!$B$12)*(1-Předpoklady!$B$9/12)</f>
        <v>661402.384431323</v>
      </c>
      <c r="H119" s="19" t="n">
        <f aca="false">IF(AND(A119&gt;12,MOD(A119,12)=Předpoklady!$B$8),Předpoklady!$B$14,0)</f>
        <v>0</v>
      </c>
      <c r="I119" s="19" t="n">
        <f aca="false">I118+H119</f>
        <v>64800</v>
      </c>
      <c r="J119" s="19" t="n">
        <f aca="false">J118*(1+Předpoklady!$B$12)*(1-Předpoklady!$B$9/12)+H119</f>
        <v>87896.8419269458</v>
      </c>
      <c r="K119" s="19" t="n">
        <f aca="false">K118+D119*E119/12</f>
        <v>16174.7989118504</v>
      </c>
      <c r="L119" s="19" t="n">
        <f aca="false">L118+((G118+C119)+J118)*(1+Předpoklady!$B$12)*Předpoklady!$B$9/12</f>
        <v>9888.54961573484</v>
      </c>
      <c r="M119" s="19" t="n">
        <f aca="false">(O118+C119)*(1+Předpoklady!$B$12)</f>
        <v>648962.444639889</v>
      </c>
      <c r="N119" s="13" t="n">
        <f aca="false">INDEX(Předpoklady!$D$18:$D$21,MATCH(M119,Předpoklady!$A$18:$A$21,1))</f>
        <v>0.0056</v>
      </c>
      <c r="O119" s="19" t="n">
        <f aca="false">M119*(1-N119/12)</f>
        <v>648659.595499057</v>
      </c>
      <c r="P119" s="19" t="n">
        <f aca="false">P118+M119*N119/12</f>
        <v>18805.7604295567</v>
      </c>
    </row>
    <row r="120" customFormat="false" ht="15" hidden="false" customHeight="false" outlineLevel="0" collapsed="false">
      <c r="A120" s="18" t="n">
        <v>119</v>
      </c>
      <c r="B120" s="18" t="n">
        <f aca="false">ROUNDUP(A120/12,0)</f>
        <v>10</v>
      </c>
      <c r="C120" s="17" t="n">
        <f aca="false">Předpoklady!$B$4</f>
        <v>4000</v>
      </c>
      <c r="D120" s="19" t="n">
        <f aca="false">(F119+C120)*(1+Předpoklady!$B$12)</f>
        <v>659691.438319668</v>
      </c>
      <c r="E120" s="13" t="n">
        <f aca="false">INDEX(Předpoklady!$C$18:$C$21,MATCH(D120,Předpoklady!$A$18:$A$21,1))</f>
        <v>0.0048</v>
      </c>
      <c r="F120" s="19" t="n">
        <f aca="false">D120*(1-E120/12)</f>
        <v>659427.561744341</v>
      </c>
      <c r="G120" s="19" t="n">
        <f aca="false">(G119+C120)*(1+Předpoklady!$B$12)*(1-Předpoklady!$B$9/12)</f>
        <v>668997.37508746</v>
      </c>
      <c r="H120" s="19" t="n">
        <f aca="false">IF(AND(A120&gt;12,MOD(A120,12)=Předpoklady!$B$8),Předpoklady!$B$14,0)</f>
        <v>0</v>
      </c>
      <c r="I120" s="19" t="n">
        <f aca="false">I119+H120</f>
        <v>64800</v>
      </c>
      <c r="J120" s="19" t="n">
        <f aca="false">J119*(1+Předpoklady!$B$12)*(1-Předpoklady!$B$9/12)+H120</f>
        <v>88371.724994432</v>
      </c>
      <c r="K120" s="19" t="n">
        <f aca="false">K119+D120*E120/12</f>
        <v>16438.6754871783</v>
      </c>
      <c r="L120" s="19" t="n">
        <f aca="false">L119+((G119+C120)+J119)*(1+Předpoklady!$B$12)*Předpoklady!$B$9/12</f>
        <v>10077.9392381609</v>
      </c>
      <c r="M120" s="19" t="n">
        <f aca="false">(O119+C120)*(1+Předpoklady!$B$12)</f>
        <v>656349.827740494</v>
      </c>
      <c r="N120" s="13" t="n">
        <f aca="false">INDEX(Předpoklady!$D$18:$D$21,MATCH(M120,Předpoklady!$A$18:$A$21,1))</f>
        <v>0.0056</v>
      </c>
      <c r="O120" s="19" t="n">
        <f aca="false">M120*(1-N120/12)</f>
        <v>656043.531154216</v>
      </c>
      <c r="P120" s="19" t="n">
        <f aca="false">P119+M120*N120/12</f>
        <v>19112.0570158356</v>
      </c>
    </row>
    <row r="121" customFormat="false" ht="15" hidden="false" customHeight="false" outlineLevel="0" collapsed="false">
      <c r="A121" s="18" t="n">
        <v>120</v>
      </c>
      <c r="B121" s="18" t="n">
        <f aca="false">ROUNDUP(A121/12,0)</f>
        <v>10</v>
      </c>
      <c r="C121" s="17" t="n">
        <f aca="false">Předpoklady!$B$4</f>
        <v>4000</v>
      </c>
      <c r="D121" s="19" t="n">
        <f aca="false">(F120+C121)*(1+Předpoklady!$B$12)</f>
        <v>667178.677632455</v>
      </c>
      <c r="E121" s="13" t="n">
        <f aca="false">INDEX(Předpoklady!$C$18:$C$21,MATCH(D121,Předpoklady!$A$18:$A$21,1))</f>
        <v>0.0048</v>
      </c>
      <c r="F121" s="19" t="n">
        <f aca="false">D121*(1-E121/12)</f>
        <v>666911.806161402</v>
      </c>
      <c r="G121" s="19" t="n">
        <f aca="false">(G120+C121)*(1+Předpoklady!$B$12)*(1-Předpoklady!$B$9/12)</f>
        <v>676633.399441524</v>
      </c>
      <c r="H121" s="19" t="n">
        <f aca="false">IF(AND(A121&gt;12,MOD(A121,12)=Předpoklady!$B$8),Předpoklady!$B$14,0)</f>
        <v>0</v>
      </c>
      <c r="I121" s="19" t="n">
        <f aca="false">I120+H121</f>
        <v>64800</v>
      </c>
      <c r="J121" s="19" t="n">
        <f aca="false">J120*(1+Předpoklady!$B$12)*(1-Předpoklady!$B$9/12)+H121</f>
        <v>88849.1737277924</v>
      </c>
      <c r="K121" s="19" t="n">
        <f aca="false">K120+D121*E121/12</f>
        <v>16705.5469582312</v>
      </c>
      <c r="L121" s="19" t="n">
        <f aca="false">L120+((G120+C121)+J120)*(1+Předpoklady!$B$12)*Předpoklady!$B$9/12</f>
        <v>10269.3577360777</v>
      </c>
      <c r="M121" s="19" t="n">
        <f aca="false">(O120+C121)*(1+Předpoklady!$B$12)</f>
        <v>663775.513241378</v>
      </c>
      <c r="N121" s="13" t="n">
        <f aca="false">INDEX(Předpoklady!$D$18:$D$21,MATCH(M121,Předpoklady!$A$18:$A$21,1))</f>
        <v>0.0056</v>
      </c>
      <c r="O121" s="19" t="n">
        <f aca="false">M121*(1-N121/12)</f>
        <v>663465.751335199</v>
      </c>
      <c r="P121" s="19" t="n">
        <f aca="false">P120+M121*N121/12</f>
        <v>19421.8189220149</v>
      </c>
    </row>
    <row r="122" customFormat="false" ht="15" hidden="false" customHeight="false" outlineLevel="0" collapsed="false">
      <c r="A122" s="18" t="n">
        <v>121</v>
      </c>
      <c r="B122" s="18" t="n">
        <f aca="false">ROUNDUP(A122/12,0)</f>
        <v>11</v>
      </c>
      <c r="C122" s="17" t="n">
        <f aca="false">Předpoklady!$B$4</f>
        <v>4000</v>
      </c>
      <c r="D122" s="19" t="n">
        <f aca="false">(F121+C122)*(1+Předpoklady!$B$12)</f>
        <v>674705.239055565</v>
      </c>
      <c r="E122" s="13" t="n">
        <f aca="false">INDEX(Předpoklady!$C$18:$C$21,MATCH(D122,Předpoklady!$A$18:$A$21,1))</f>
        <v>0.0048</v>
      </c>
      <c r="F122" s="19" t="n">
        <f aca="false">D122*(1-E122/12)</f>
        <v>674435.356959943</v>
      </c>
      <c r="G122" s="19" t="n">
        <f aca="false">(G121+C122)*(1+Předpoklady!$B$12)*(1-Předpoklady!$B$9/12)</f>
        <v>684310.679187581</v>
      </c>
      <c r="H122" s="19" t="n">
        <f aca="false">IF(AND(A122&gt;12,MOD(A122,12)=Předpoklady!$B$8),Předpoklady!$B$14,0)</f>
        <v>0</v>
      </c>
      <c r="I122" s="19" t="n">
        <f aca="false">I121+H122</f>
        <v>64800</v>
      </c>
      <c r="J122" s="19" t="n">
        <f aca="false">J121*(1+Předpoklady!$B$12)*(1-Předpoklady!$B$9/12)+H122</f>
        <v>89329.2019886317</v>
      </c>
      <c r="K122" s="19" t="n">
        <f aca="false">K121+D122*E122/12</f>
        <v>16975.4290538535</v>
      </c>
      <c r="L122" s="19" t="n">
        <f aca="false">L121+((G121+C122)+J121)*(1+Předpoklady!$B$12)*Předpoklady!$B$9/12</f>
        <v>10462.8160709555</v>
      </c>
      <c r="M122" s="19" t="n">
        <f aca="false">(O121+C122)*(1+Předpoklady!$B$12)</f>
        <v>671239.699734361</v>
      </c>
      <c r="N122" s="13" t="n">
        <f aca="false">INDEX(Předpoklady!$D$18:$D$21,MATCH(M122,Předpoklady!$A$18:$A$21,1))</f>
        <v>0.0056</v>
      </c>
      <c r="O122" s="19" t="n">
        <f aca="false">M122*(1-N122/12)</f>
        <v>670926.454541152</v>
      </c>
      <c r="P122" s="19" t="n">
        <f aca="false">P121+M122*N122/12</f>
        <v>19735.0641152243</v>
      </c>
    </row>
    <row r="123" customFormat="false" ht="15" hidden="false" customHeight="false" outlineLevel="0" collapsed="false">
      <c r="A123" s="18" t="n">
        <v>122</v>
      </c>
      <c r="B123" s="18" t="n">
        <f aca="false">ROUNDUP(A123/12,0)</f>
        <v>11</v>
      </c>
      <c r="C123" s="17" t="n">
        <f aca="false">Předpoklady!$B$4</f>
        <v>4000</v>
      </c>
      <c r="D123" s="19" t="n">
        <f aca="false">(F122+C123)*(1+Předpoklady!$B$12)</f>
        <v>682271.329104151</v>
      </c>
      <c r="E123" s="13" t="n">
        <f aca="false">INDEX(Předpoklady!$C$18:$C$21,MATCH(D123,Předpoklady!$A$18:$A$21,1))</f>
        <v>0.0048</v>
      </c>
      <c r="F123" s="19" t="n">
        <f aca="false">D123*(1-E123/12)</f>
        <v>681998.420572509</v>
      </c>
      <c r="G123" s="19" t="n">
        <f aca="false">(G122+C123)*(1+Předpoklady!$B$12)*(1-Předpoklady!$B$9/12)</f>
        <v>692029.437217451</v>
      </c>
      <c r="H123" s="19" t="n">
        <f aca="false">IF(AND(A123&gt;12,MOD(A123,12)=Předpoklady!$B$8),Předpoklady!$B$14,0)</f>
        <v>0</v>
      </c>
      <c r="I123" s="19" t="n">
        <f aca="false">I122+H123</f>
        <v>64800</v>
      </c>
      <c r="J123" s="19" t="n">
        <f aca="false">J122*(1+Předpoklady!$B$12)*(1-Předpoklady!$B$9/12)+H123</f>
        <v>89811.8237134454</v>
      </c>
      <c r="K123" s="19" t="n">
        <f aca="false">K122+D123*E123/12</f>
        <v>17248.3375854951</v>
      </c>
      <c r="L123" s="19" t="n">
        <f aca="false">L122+((G122+C123)+J122)*(1+Předpoklady!$B$12)*Předpoklady!$B$9/12</f>
        <v>10658.3252634864</v>
      </c>
      <c r="M123" s="19" t="n">
        <f aca="false">(O122+C123)*(1+Předpoklady!$B$12)</f>
        <v>678742.586840934</v>
      </c>
      <c r="N123" s="13" t="n">
        <f aca="false">INDEX(Předpoklady!$D$18:$D$21,MATCH(M123,Předpoklady!$A$18:$A$21,1))</f>
        <v>0.0056</v>
      </c>
      <c r="O123" s="19" t="n">
        <f aca="false">M123*(1-N123/12)</f>
        <v>678425.840300408</v>
      </c>
      <c r="P123" s="19" t="n">
        <f aca="false">P122+M123*N123/12</f>
        <v>20051.8106557501</v>
      </c>
    </row>
    <row r="124" customFormat="false" ht="15" hidden="false" customHeight="false" outlineLevel="0" collapsed="false">
      <c r="A124" s="18" t="n">
        <v>123</v>
      </c>
      <c r="B124" s="18" t="n">
        <f aca="false">ROUNDUP(A124/12,0)</f>
        <v>11</v>
      </c>
      <c r="C124" s="17" t="n">
        <f aca="false">Předpoklady!$B$4</f>
        <v>4000</v>
      </c>
      <c r="D124" s="19" t="n">
        <f aca="false">(F123+C124)*(1+Předpoklady!$B$12)</f>
        <v>689877.155377956</v>
      </c>
      <c r="E124" s="13" t="n">
        <f aca="false">INDEX(Předpoklady!$C$18:$C$21,MATCH(D124,Předpoklady!$A$18:$A$21,1))</f>
        <v>0.0048</v>
      </c>
      <c r="F124" s="19" t="n">
        <f aca="false">D124*(1-E124/12)</f>
        <v>689601.204515805</v>
      </c>
      <c r="G124" s="19" t="n">
        <f aca="false">(G123+C124)*(1+Předpoklady!$B$12)*(1-Předpoklady!$B$9/12)</f>
        <v>699789.89762718</v>
      </c>
      <c r="H124" s="19" t="n">
        <f aca="false">IF(AND(A124&gt;12,MOD(A124,12)=Předpoklady!$B$8),Předpoklady!$B$14,0)</f>
        <v>0</v>
      </c>
      <c r="I124" s="19" t="n">
        <f aca="false">I123+H124</f>
        <v>64800</v>
      </c>
      <c r="J124" s="19" t="n">
        <f aca="false">J123*(1+Předpoklady!$B$12)*(1-Předpoklady!$B$9/12)+H124</f>
        <v>90297.0529140236</v>
      </c>
      <c r="K124" s="19" t="n">
        <f aca="false">K123+D124*E124/12</f>
        <v>17524.2884476463</v>
      </c>
      <c r="L124" s="19" t="n">
        <f aca="false">L123+((G123+C124)+J123)*(1+Předpoklady!$B$12)*Předpoklady!$B$9/12</f>
        <v>10855.8963939043</v>
      </c>
      <c r="M124" s="19" t="n">
        <f aca="false">(O123+C124)*(1+Předpoklady!$B$12)</f>
        <v>686284.375217589</v>
      </c>
      <c r="N124" s="13" t="n">
        <f aca="false">INDEX(Předpoklady!$D$18:$D$21,MATCH(M124,Předpoklady!$A$18:$A$21,1))</f>
        <v>0.0056</v>
      </c>
      <c r="O124" s="19" t="n">
        <f aca="false">M124*(1-N124/12)</f>
        <v>685964.109175821</v>
      </c>
      <c r="P124" s="19" t="n">
        <f aca="false">P123+M124*N124/12</f>
        <v>20372.0766975183</v>
      </c>
    </row>
    <row r="125" customFormat="false" ht="15" hidden="false" customHeight="false" outlineLevel="0" collapsed="false">
      <c r="A125" s="18" t="n">
        <v>124</v>
      </c>
      <c r="B125" s="18" t="n">
        <f aca="false">ROUNDUP(A125/12,0)</f>
        <v>11</v>
      </c>
      <c r="C125" s="17" t="n">
        <f aca="false">Předpoklady!$B$4</f>
        <v>4000</v>
      </c>
      <c r="D125" s="19" t="n">
        <f aca="false">(F124+C125)*(1+Předpoklady!$B$12)</f>
        <v>697522.926567017</v>
      </c>
      <c r="E125" s="13" t="n">
        <f aca="false">INDEX(Předpoklady!$C$18:$C$21,MATCH(D125,Předpoklady!$A$18:$A$21,1))</f>
        <v>0.0048</v>
      </c>
      <c r="F125" s="19" t="n">
        <f aca="false">D125*(1-E125/12)</f>
        <v>697243.91739639</v>
      </c>
      <c r="G125" s="19" t="n">
        <f aca="false">(G124+C125)*(1+Předpoklady!$B$12)*(1-Předpoklady!$B$9/12)</f>
        <v>707592.285723544</v>
      </c>
      <c r="H125" s="19" t="n">
        <f aca="false">IF(AND(A125&gt;12,MOD(A125,12)=Předpoklady!$B$8),Předpoklady!$B$14,0)</f>
        <v>7200</v>
      </c>
      <c r="I125" s="19" t="n">
        <f aca="false">I124+H125</f>
        <v>72000</v>
      </c>
      <c r="J125" s="19" t="n">
        <f aca="false">J124*(1+Předpoklady!$B$12)*(1-Předpoklady!$B$9/12)+H125</f>
        <v>97984.9036778589</v>
      </c>
      <c r="K125" s="19" t="n">
        <f aca="false">K124+D125*E125/12</f>
        <v>17803.2976182731</v>
      </c>
      <c r="L125" s="19" t="n">
        <f aca="false">L124+((G124+C125)+J124)*(1+Předpoklady!$B$12)*Předpoklady!$B$9/12</f>
        <v>11055.5406023067</v>
      </c>
      <c r="M125" s="19" t="n">
        <f aca="false">(O124+C125)*(1+Předpoklady!$B$12)</f>
        <v>693865.266561192</v>
      </c>
      <c r="N125" s="13" t="n">
        <f aca="false">INDEX(Předpoklady!$D$18:$D$21,MATCH(M125,Předpoklady!$A$18:$A$21,1))</f>
        <v>0.0056</v>
      </c>
      <c r="O125" s="19" t="n">
        <f aca="false">M125*(1-N125/12)</f>
        <v>693541.46277013</v>
      </c>
      <c r="P125" s="19" t="n">
        <f aca="false">P124+M125*N125/12</f>
        <v>20695.8804885802</v>
      </c>
    </row>
    <row r="126" customFormat="false" ht="15" hidden="false" customHeight="false" outlineLevel="0" collapsed="false">
      <c r="A126" s="18" t="n">
        <v>125</v>
      </c>
      <c r="B126" s="18" t="n">
        <f aca="false">ROUNDUP(A126/12,0)</f>
        <v>11</v>
      </c>
      <c r="C126" s="17" t="n">
        <f aca="false">Předpoklady!$B$4</f>
        <v>4000</v>
      </c>
      <c r="D126" s="19" t="n">
        <f aca="false">(F125+C126)*(1+Předpoklady!$B$12)</f>
        <v>705208.852457383</v>
      </c>
      <c r="E126" s="13" t="n">
        <f aca="false">INDEX(Předpoklady!$C$18:$C$21,MATCH(D126,Předpoklady!$A$18:$A$21,1))</f>
        <v>0.0048</v>
      </c>
      <c r="F126" s="19" t="n">
        <f aca="false">D126*(1-E126/12)</f>
        <v>704926.7689164</v>
      </c>
      <c r="G126" s="19" t="n">
        <f aca="false">(G125+C126)*(1+Předpoklady!$B$12)*(1-Předpoklady!$B$9/12)</f>
        <v>715436.82803059</v>
      </c>
      <c r="H126" s="19" t="n">
        <f aca="false">IF(AND(A126&gt;12,MOD(A126,12)=Předpoklady!$B$8),Předpoklady!$B$14,0)</f>
        <v>0</v>
      </c>
      <c r="I126" s="19" t="n">
        <f aca="false">I125+H126</f>
        <v>72000</v>
      </c>
      <c r="J126" s="19" t="n">
        <f aca="false">J125*(1+Předpoklady!$B$12)*(1-Předpoklady!$B$9/12)+H126</f>
        <v>98514.2898378822</v>
      </c>
      <c r="K126" s="19" t="n">
        <f aca="false">K125+D126*E126/12</f>
        <v>18085.3811592561</v>
      </c>
      <c r="L126" s="19" t="n">
        <f aca="false">L125+((G125+C126)+J125)*(1+Předpoklady!$B$12)*Předpoklady!$B$9/12</f>
        <v>11259.0792664399</v>
      </c>
      <c r="M126" s="19" t="n">
        <f aca="false">(O125+C126)*(1+Předpoklady!$B$12)</f>
        <v>701485.463614376</v>
      </c>
      <c r="N126" s="13" t="n">
        <f aca="false">INDEX(Předpoklady!$D$18:$D$21,MATCH(M126,Předpoklady!$A$18:$A$21,1))</f>
        <v>0.0056</v>
      </c>
      <c r="O126" s="19" t="n">
        <f aca="false">M126*(1-N126/12)</f>
        <v>701158.103731356</v>
      </c>
      <c r="P126" s="19" t="n">
        <f aca="false">P125+M126*N126/12</f>
        <v>21023.2403716002</v>
      </c>
    </row>
    <row r="127" customFormat="false" ht="15" hidden="false" customHeight="false" outlineLevel="0" collapsed="false">
      <c r="A127" s="18" t="n">
        <v>126</v>
      </c>
      <c r="B127" s="18" t="n">
        <f aca="false">ROUNDUP(A127/12,0)</f>
        <v>11</v>
      </c>
      <c r="C127" s="17" t="n">
        <f aca="false">Předpoklady!$B$4</f>
        <v>4000</v>
      </c>
      <c r="D127" s="19" t="n">
        <f aca="false">(F126+C127)*(1+Předpoklady!$B$12)</f>
        <v>712935.143936877</v>
      </c>
      <c r="E127" s="13" t="n">
        <f aca="false">INDEX(Předpoklady!$C$18:$C$21,MATCH(D127,Předpoklady!$A$18:$A$21,1))</f>
        <v>0.0048</v>
      </c>
      <c r="F127" s="19" t="n">
        <f aca="false">D127*(1-E127/12)</f>
        <v>712649.969879302</v>
      </c>
      <c r="G127" s="19" t="n">
        <f aca="false">(G126+C127)*(1+Předpoklady!$B$12)*(1-Předpoklady!$B$9/12)</f>
        <v>723323.752296215</v>
      </c>
      <c r="H127" s="19" t="n">
        <f aca="false">IF(AND(A127&gt;12,MOD(A127,12)=Předpoklady!$B$8),Předpoklady!$B$14,0)</f>
        <v>0</v>
      </c>
      <c r="I127" s="19" t="n">
        <f aca="false">I126+H127</f>
        <v>72000</v>
      </c>
      <c r="J127" s="19" t="n">
        <f aca="false">J126*(1+Předpoklady!$B$12)*(1-Předpoklady!$B$9/12)+H127</f>
        <v>99046.5361293737</v>
      </c>
      <c r="K127" s="19" t="n">
        <f aca="false">K126+D127*E127/12</f>
        <v>18370.5552168308</v>
      </c>
      <c r="L127" s="19" t="n">
        <f aca="false">L126+((G126+C127)+J126)*(1+Předpoklady!$B$12)*Předpoklady!$B$9/12</f>
        <v>11464.723249542</v>
      </c>
      <c r="M127" s="19" t="n">
        <f aca="false">(O126+C127)*(1+Předpoklady!$B$12)</f>
        <v>709145.17017096</v>
      </c>
      <c r="N127" s="13" t="n">
        <f aca="false">INDEX(Předpoklady!$D$18:$D$21,MATCH(M127,Předpoklady!$A$18:$A$21,1))</f>
        <v>0.0056</v>
      </c>
      <c r="O127" s="19" t="n">
        <f aca="false">M127*(1-N127/12)</f>
        <v>708814.235758214</v>
      </c>
      <c r="P127" s="19" t="n">
        <f aca="false">P126+M127*N127/12</f>
        <v>21354.1747843467</v>
      </c>
    </row>
    <row r="128" customFormat="false" ht="15" hidden="false" customHeight="false" outlineLevel="0" collapsed="false">
      <c r="A128" s="18" t="n">
        <v>127</v>
      </c>
      <c r="B128" s="18" t="n">
        <f aca="false">ROUNDUP(A128/12,0)</f>
        <v>11</v>
      </c>
      <c r="C128" s="17" t="n">
        <f aca="false">Předpoklady!$B$4</f>
        <v>4000</v>
      </c>
      <c r="D128" s="19" t="n">
        <f aca="false">(F127+C128)*(1+Předpoklady!$B$12)</f>
        <v>720702.013000879</v>
      </c>
      <c r="E128" s="13" t="n">
        <f aca="false">INDEX(Předpoklady!$C$18:$C$21,MATCH(D128,Předpoklady!$A$18:$A$21,1))</f>
        <v>0.0048</v>
      </c>
      <c r="F128" s="19" t="n">
        <f aca="false">D128*(1-E128/12)</f>
        <v>720413.732195679</v>
      </c>
      <c r="G128" s="19" t="n">
        <f aca="false">(G127+C128)*(1+Předpoklady!$B$12)*(1-Předpoklady!$B$9/12)</f>
        <v>731253.287498778</v>
      </c>
      <c r="H128" s="19" t="n">
        <f aca="false">IF(AND(A128&gt;12,MOD(A128,12)=Předpoklady!$B$8),Předpoklady!$B$14,0)</f>
        <v>0</v>
      </c>
      <c r="I128" s="19" t="n">
        <f aca="false">I127+H128</f>
        <v>72000</v>
      </c>
      <c r="J128" s="19" t="n">
        <f aca="false">J127*(1+Předpoklady!$B$12)*(1-Předpoklady!$B$9/12)+H128</f>
        <v>99581.6580048569</v>
      </c>
      <c r="K128" s="19" t="n">
        <f aca="false">K127+D128*E128/12</f>
        <v>18658.8360220312</v>
      </c>
      <c r="L128" s="19" t="n">
        <f aca="false">L127+((G127+C128)+J127)*(1+Předpoklady!$B$12)*Předpoklady!$B$9/12</f>
        <v>11672.4839260871</v>
      </c>
      <c r="M128" s="19" t="n">
        <f aca="false">(O127+C128)*(1+Předpoklady!$B$12)</f>
        <v>716844.591081403</v>
      </c>
      <c r="N128" s="13" t="n">
        <f aca="false">INDEX(Předpoklady!$D$18:$D$21,MATCH(M128,Předpoklady!$A$18:$A$21,1))</f>
        <v>0.0056</v>
      </c>
      <c r="O128" s="19" t="n">
        <f aca="false">M128*(1-N128/12)</f>
        <v>716510.063605565</v>
      </c>
      <c r="P128" s="19" t="n">
        <f aca="false">P127+M128*N128/12</f>
        <v>21688.7022601846</v>
      </c>
    </row>
    <row r="129" customFormat="false" ht="15" hidden="false" customHeight="false" outlineLevel="0" collapsed="false">
      <c r="A129" s="18" t="n">
        <v>128</v>
      </c>
      <c r="B129" s="18" t="n">
        <f aca="false">ROUNDUP(A129/12,0)</f>
        <v>11</v>
      </c>
      <c r="C129" s="17" t="n">
        <f aca="false">Předpoklady!$B$4</f>
        <v>4000</v>
      </c>
      <c r="D129" s="19" t="n">
        <f aca="false">(F128+C129)*(1+Předpoklady!$B$12)</f>
        <v>728509.672758146</v>
      </c>
      <c r="E129" s="13" t="n">
        <f aca="false">INDEX(Předpoklady!$C$18:$C$21,MATCH(D129,Předpoklady!$A$18:$A$21,1))</f>
        <v>0.0048</v>
      </c>
      <c r="F129" s="19" t="n">
        <f aca="false">D129*(1-E129/12)</f>
        <v>728218.268889043</v>
      </c>
      <c r="G129" s="19" t="n">
        <f aca="false">(G128+C129)*(1+Předpoklady!$B$12)*(1-Předpoklady!$B$9/12)</f>
        <v>739225.663853743</v>
      </c>
      <c r="H129" s="19" t="n">
        <f aca="false">IF(AND(A129&gt;12,MOD(A129,12)=Předpoklady!$B$8),Předpoklady!$B$14,0)</f>
        <v>0</v>
      </c>
      <c r="I129" s="19" t="n">
        <f aca="false">I128+H129</f>
        <v>72000</v>
      </c>
      <c r="J129" s="19" t="n">
        <f aca="false">J128*(1+Předpoklady!$B$12)*(1-Předpoklady!$B$9/12)+H129</f>
        <v>100119.671000341</v>
      </c>
      <c r="K129" s="19" t="n">
        <f aca="false">K128+D129*E129/12</f>
        <v>18950.2398911344</v>
      </c>
      <c r="L129" s="19" t="n">
        <f aca="false">L128+((G128+C129)+J128)*(1+Předpoklady!$B$12)*Předpoklady!$B$9/12</f>
        <v>11882.3727320021</v>
      </c>
      <c r="M129" s="19" t="n">
        <f aca="false">(O128+C129)*(1+Předpoklady!$B$12)</f>
        <v>724583.932258279</v>
      </c>
      <c r="N129" s="13" t="n">
        <f aca="false">INDEX(Předpoklady!$D$18:$D$21,MATCH(M129,Předpoklady!$A$18:$A$21,1))</f>
        <v>0.0056</v>
      </c>
      <c r="O129" s="19" t="n">
        <f aca="false">M129*(1-N129/12)</f>
        <v>724245.793089892</v>
      </c>
      <c r="P129" s="19" t="n">
        <f aca="false">P128+M129*N129/12</f>
        <v>22026.8414285718</v>
      </c>
    </row>
    <row r="130" customFormat="false" ht="15" hidden="false" customHeight="false" outlineLevel="0" collapsed="false">
      <c r="A130" s="18" t="n">
        <v>129</v>
      </c>
      <c r="B130" s="18" t="n">
        <f aca="false">ROUNDUP(A130/12,0)</f>
        <v>11</v>
      </c>
      <c r="C130" s="17" t="n">
        <f aca="false">Předpoklady!$B$4</f>
        <v>4000</v>
      </c>
      <c r="D130" s="19" t="n">
        <f aca="false">(F129+C130)*(1+Předpoklady!$B$12)</f>
        <v>736358.337436656</v>
      </c>
      <c r="E130" s="13" t="n">
        <f aca="false">INDEX(Předpoklady!$C$18:$C$21,MATCH(D130,Předpoklady!$A$18:$A$21,1))</f>
        <v>0.0048</v>
      </c>
      <c r="F130" s="19" t="n">
        <f aca="false">D130*(1-E130/12)</f>
        <v>736063.794101681</v>
      </c>
      <c r="G130" s="19" t="n">
        <f aca="false">(G129+C130)*(1+Předpoklady!$B$12)*(1-Předpoklady!$B$9/12)</f>
        <v>747241.112820369</v>
      </c>
      <c r="H130" s="19" t="n">
        <f aca="false">IF(AND(A130&gt;12,MOD(A130,12)=Předpoklady!$B$8),Předpoklady!$B$14,0)</f>
        <v>0</v>
      </c>
      <c r="I130" s="19" t="n">
        <f aca="false">I129+H130</f>
        <v>72000</v>
      </c>
      <c r="J130" s="19" t="n">
        <f aca="false">J129*(1+Předpoklady!$B$12)*(1-Předpoklady!$B$9/12)+H130</f>
        <v>100660.590735772</v>
      </c>
      <c r="K130" s="19" t="n">
        <f aca="false">K129+D130*E130/12</f>
        <v>19244.7832261091</v>
      </c>
      <c r="L130" s="19" t="n">
        <f aca="false">L129+((G129+C130)+J129)*(1+Předpoklady!$B$12)*Předpoklady!$B$9/12</f>
        <v>12094.4011649994</v>
      </c>
      <c r="M130" s="19" t="n">
        <f aca="false">(O129+C130)*(1+Předpoklady!$B$12)</f>
        <v>732363.400681789</v>
      </c>
      <c r="N130" s="13" t="n">
        <f aca="false">INDEX(Předpoklady!$D$18:$D$21,MATCH(M130,Předpoklady!$A$18:$A$21,1))</f>
        <v>0.0056</v>
      </c>
      <c r="O130" s="19" t="n">
        <f aca="false">M130*(1-N130/12)</f>
        <v>732021.631094804</v>
      </c>
      <c r="P130" s="19" t="n">
        <f aca="false">P129+M130*N130/12</f>
        <v>22368.6110155567</v>
      </c>
    </row>
    <row r="131" customFormat="false" ht="15" hidden="false" customHeight="false" outlineLevel="0" collapsed="false">
      <c r="A131" s="18" t="n">
        <v>130</v>
      </c>
      <c r="B131" s="18" t="n">
        <f aca="false">ROUNDUP(A131/12,0)</f>
        <v>11</v>
      </c>
      <c r="C131" s="17" t="n">
        <f aca="false">Předpoklady!$B$4</f>
        <v>4000</v>
      </c>
      <c r="D131" s="19" t="n">
        <f aca="false">(F130+C131)*(1+Předpoklady!$B$12)</f>
        <v>744248.222389487</v>
      </c>
      <c r="E131" s="13" t="n">
        <f aca="false">INDEX(Předpoklady!$C$18:$C$21,MATCH(D131,Předpoklady!$A$18:$A$21,1))</f>
        <v>0.0048</v>
      </c>
      <c r="F131" s="19" t="n">
        <f aca="false">D131*(1-E131/12)</f>
        <v>743950.523100531</v>
      </c>
      <c r="G131" s="19" t="n">
        <f aca="false">(G130+C131)*(1+Předpoklady!$B$12)*(1-Předpoklady!$B$9/12)</f>
        <v>755299.867108428</v>
      </c>
      <c r="H131" s="19" t="n">
        <f aca="false">IF(AND(A131&gt;12,MOD(A131,12)=Předpoklady!$B$8),Předpoklady!$B$14,0)</f>
        <v>0</v>
      </c>
      <c r="I131" s="19" t="n">
        <f aca="false">I130+H131</f>
        <v>72000</v>
      </c>
      <c r="J131" s="19" t="n">
        <f aca="false">J130*(1+Předpoklady!$B$12)*(1-Předpoklady!$B$9/12)+H131</f>
        <v>101204.432915487</v>
      </c>
      <c r="K131" s="19" t="n">
        <f aca="false">K130+D131*E131/12</f>
        <v>19542.4825150649</v>
      </c>
      <c r="L131" s="19" t="n">
        <f aca="false">L130+((G130+C131)+J130)*(1+Předpoklady!$B$12)*Předpoklady!$B$9/12</f>
        <v>12308.5807849103</v>
      </c>
      <c r="M131" s="19" t="n">
        <f aca="false">(O130+C131)*(1+Předpoklady!$B$12)</f>
        <v>740183.204405289</v>
      </c>
      <c r="N131" s="13" t="n">
        <f aca="false">INDEX(Předpoklady!$D$18:$D$21,MATCH(M131,Předpoklady!$A$18:$A$21,1))</f>
        <v>0.0056</v>
      </c>
      <c r="O131" s="19" t="n">
        <f aca="false">M131*(1-N131/12)</f>
        <v>739837.785576567</v>
      </c>
      <c r="P131" s="19" t="n">
        <f aca="false">P130+M131*N131/12</f>
        <v>22714.0298442791</v>
      </c>
    </row>
    <row r="132" customFormat="false" ht="15" hidden="false" customHeight="false" outlineLevel="0" collapsed="false">
      <c r="A132" s="18" t="n">
        <v>131</v>
      </c>
      <c r="B132" s="18" t="n">
        <f aca="false">ROUNDUP(A132/12,0)</f>
        <v>11</v>
      </c>
      <c r="C132" s="17" t="n">
        <f aca="false">Předpoklady!$B$4</f>
        <v>4000</v>
      </c>
      <c r="D132" s="19" t="n">
        <f aca="false">(F131+C132)*(1+Předpoklady!$B$12)</f>
        <v>752179.544100727</v>
      </c>
      <c r="E132" s="13" t="n">
        <f aca="false">INDEX(Předpoklady!$C$18:$C$21,MATCH(D132,Předpoklady!$A$18:$A$21,1))</f>
        <v>0.0048</v>
      </c>
      <c r="F132" s="19" t="n">
        <f aca="false">D132*(1-E132/12)</f>
        <v>751878.672283087</v>
      </c>
      <c r="G132" s="19" t="n">
        <f aca="false">(G131+C132)*(1+Předpoklady!$B$12)*(1-Předpoklady!$B$9/12)</f>
        <v>763402.16068496</v>
      </c>
      <c r="H132" s="19" t="n">
        <f aca="false">IF(AND(A132&gt;12,MOD(A132,12)=Předpoklady!$B$8),Předpoklady!$B$14,0)</f>
        <v>0</v>
      </c>
      <c r="I132" s="19" t="n">
        <f aca="false">I131+H132</f>
        <v>72000</v>
      </c>
      <c r="J132" s="19" t="n">
        <f aca="false">J131*(1+Předpoklady!$B$12)*(1-Předpoklady!$B$9/12)+H132</f>
        <v>101751.213328667</v>
      </c>
      <c r="K132" s="19" t="n">
        <f aca="false">K131+D132*E132/12</f>
        <v>19843.3543327052</v>
      </c>
      <c r="L132" s="19" t="n">
        <f aca="false">L131+((G131+C132)+J131)*(1+Předpoklady!$B$12)*Předpoklady!$B$9/12</f>
        <v>12524.923214021</v>
      </c>
      <c r="M132" s="19" t="n">
        <f aca="false">(O131+C132)*(1+Předpoklady!$B$12)</f>
        <v>748043.552560862</v>
      </c>
      <c r="N132" s="13" t="n">
        <f aca="false">INDEX(Předpoklady!$D$18:$D$21,MATCH(M132,Předpoklady!$A$18:$A$21,1))</f>
        <v>0.0056</v>
      </c>
      <c r="O132" s="19" t="n">
        <f aca="false">M132*(1-N132/12)</f>
        <v>747694.465569667</v>
      </c>
      <c r="P132" s="19" t="n">
        <f aca="false">P131+M132*N132/12</f>
        <v>23063.1168354742</v>
      </c>
    </row>
    <row r="133" customFormat="false" ht="15" hidden="false" customHeight="false" outlineLevel="0" collapsed="false">
      <c r="A133" s="18" t="n">
        <v>132</v>
      </c>
      <c r="B133" s="18" t="n">
        <f aca="false">ROUNDUP(A133/12,0)</f>
        <v>11</v>
      </c>
      <c r="C133" s="17" t="n">
        <f aca="false">Předpoklady!$B$4</f>
        <v>4000</v>
      </c>
      <c r="D133" s="19" t="n">
        <f aca="false">(F132+C133)*(1+Předpoklady!$B$12)</f>
        <v>760152.520191415</v>
      </c>
      <c r="E133" s="13" t="n">
        <f aca="false">INDEX(Předpoklady!$C$18:$C$21,MATCH(D133,Předpoklady!$A$18:$A$21,1))</f>
        <v>0.0048</v>
      </c>
      <c r="F133" s="19" t="n">
        <f aca="false">D133*(1-E133/12)</f>
        <v>759848.459183338</v>
      </c>
      <c r="G133" s="19" t="n">
        <f aca="false">(G132+C133)*(1+Předpoklady!$B$12)*(1-Předpoklady!$B$9/12)</f>
        <v>771548.228781063</v>
      </c>
      <c r="H133" s="19" t="n">
        <f aca="false">IF(AND(A133&gt;12,MOD(A133,12)=Předpoklady!$B$8),Předpoklady!$B$14,0)</f>
        <v>0</v>
      </c>
      <c r="I133" s="19" t="n">
        <f aca="false">I132+H133</f>
        <v>72000</v>
      </c>
      <c r="J133" s="19" t="n">
        <f aca="false">J132*(1+Předpoklady!$B$12)*(1-Předpoklady!$B$9/12)+H133</f>
        <v>102300.947849802</v>
      </c>
      <c r="K133" s="19" t="n">
        <f aca="false">K132+D133*E133/12</f>
        <v>20147.4153407817</v>
      </c>
      <c r="L133" s="19" t="n">
        <f aca="false">L132+((G132+C133)+J132)*(1+Předpoklady!$B$12)*Předpoklady!$B$9/12</f>
        <v>12743.4401374096</v>
      </c>
      <c r="M133" s="19" t="n">
        <f aca="false">(O132+C133)*(1+Předpoklady!$B$12)</f>
        <v>755944.655364906</v>
      </c>
      <c r="N133" s="13" t="n">
        <f aca="false">INDEX(Předpoklady!$D$18:$D$21,MATCH(M133,Předpoklady!$A$18:$A$21,1))</f>
        <v>0.0056</v>
      </c>
      <c r="O133" s="19" t="n">
        <f aca="false">M133*(1-N133/12)</f>
        <v>755591.881192402</v>
      </c>
      <c r="P133" s="19" t="n">
        <f aca="false">P132+M133*N133/12</f>
        <v>23415.8910079778</v>
      </c>
    </row>
    <row r="134" customFormat="false" ht="15" hidden="false" customHeight="false" outlineLevel="0" collapsed="false">
      <c r="A134" s="18" t="n">
        <v>133</v>
      </c>
      <c r="B134" s="18" t="n">
        <f aca="false">ROUNDUP(A134/12,0)</f>
        <v>12</v>
      </c>
      <c r="C134" s="17" t="n">
        <f aca="false">Předpoklady!$B$4</f>
        <v>4000</v>
      </c>
      <c r="D134" s="19" t="n">
        <f aca="false">(F133+C134)*(1+Předpoklady!$B$12)</f>
        <v>768167.369425506</v>
      </c>
      <c r="E134" s="13" t="n">
        <f aca="false">INDEX(Předpoklady!$C$18:$C$21,MATCH(D134,Předpoklady!$A$18:$A$21,1))</f>
        <v>0.0048</v>
      </c>
      <c r="F134" s="19" t="n">
        <f aca="false">D134*(1-E134/12)</f>
        <v>767860.102477736</v>
      </c>
      <c r="G134" s="19" t="n">
        <f aca="false">(G133+C134)*(1+Předpoklady!$B$12)*(1-Předpoklady!$B$9/12)</f>
        <v>779738.307898731</v>
      </c>
      <c r="H134" s="19" t="n">
        <f aca="false">IF(AND(A134&gt;12,MOD(A134,12)=Předpoklady!$B$8),Předpoklady!$B$14,0)</f>
        <v>0</v>
      </c>
      <c r="I134" s="19" t="n">
        <f aca="false">I133+H134</f>
        <v>72000</v>
      </c>
      <c r="J134" s="19" t="n">
        <f aca="false">J133*(1+Předpoklady!$B$12)*(1-Předpoklady!$B$9/12)+H134</f>
        <v>102853.652439144</v>
      </c>
      <c r="K134" s="19" t="n">
        <f aca="false">K133+D134*E134/12</f>
        <v>20454.6822885519</v>
      </c>
      <c r="L134" s="19" t="n">
        <f aca="false">L133+((G133+C134)+J133)*(1+Předpoklady!$B$12)*Předpoklady!$B$9/12</f>
        <v>12964.1433032855</v>
      </c>
      <c r="M134" s="19" t="n">
        <f aca="false">(O133+C134)*(1+Předpoklady!$B$12)</f>
        <v>763886.724123757</v>
      </c>
      <c r="N134" s="13" t="n">
        <f aca="false">INDEX(Předpoklady!$D$18:$D$21,MATCH(M134,Předpoklady!$A$18:$A$21,1))</f>
        <v>0.0056</v>
      </c>
      <c r="O134" s="19" t="n">
        <f aca="false">M134*(1-N134/12)</f>
        <v>763530.243652499</v>
      </c>
      <c r="P134" s="19" t="n">
        <f aca="false">P133+M134*N134/12</f>
        <v>23772.3714792356</v>
      </c>
    </row>
    <row r="135" customFormat="false" ht="15" hidden="false" customHeight="false" outlineLevel="0" collapsed="false">
      <c r="A135" s="18" t="n">
        <v>134</v>
      </c>
      <c r="B135" s="18" t="n">
        <f aca="false">ROUNDUP(A135/12,0)</f>
        <v>12</v>
      </c>
      <c r="C135" s="17" t="n">
        <f aca="false">Předpoklady!$B$4</f>
        <v>4000</v>
      </c>
      <c r="D135" s="19" t="n">
        <f aca="false">(F134+C135)*(1+Předpoklady!$B$12)</f>
        <v>776224.311715883</v>
      </c>
      <c r="E135" s="13" t="n">
        <f aca="false">INDEX(Předpoklady!$C$18:$C$21,MATCH(D135,Předpoklady!$A$18:$A$21,1))</f>
        <v>0.0048</v>
      </c>
      <c r="F135" s="19" t="n">
        <f aca="false">D135*(1-E135/12)</f>
        <v>775913.821991196</v>
      </c>
      <c r="G135" s="19" t="n">
        <f aca="false">(G134+C135)*(1+Předpoklady!$B$12)*(1-Předpoklady!$B$9/12)</f>
        <v>787972.63581771</v>
      </c>
      <c r="H135" s="19" t="n">
        <f aca="false">IF(AND(A135&gt;12,MOD(A135,12)=Předpoklady!$B$8),Předpoklady!$B$14,0)</f>
        <v>0</v>
      </c>
      <c r="I135" s="19" t="n">
        <f aca="false">I134+H135</f>
        <v>72000</v>
      </c>
      <c r="J135" s="19" t="n">
        <f aca="false">J134*(1+Předpoklady!$B$12)*(1-Předpoklady!$B$9/12)+H135</f>
        <v>103409.343143174</v>
      </c>
      <c r="K135" s="19" t="n">
        <f aca="false">K134+D135*E135/12</f>
        <v>20765.1720132383</v>
      </c>
      <c r="L135" s="19" t="n">
        <f aca="false">L134+((G134+C135)+J134)*(1+Předpoklady!$B$12)*Předpoklady!$B$9/12</f>
        <v>13187.0445233307</v>
      </c>
      <c r="M135" s="19" t="n">
        <f aca="false">(O134+C135)*(1+Předpoklady!$B$12)</f>
        <v>771869.971239341</v>
      </c>
      <c r="N135" s="13" t="n">
        <f aca="false">INDEX(Předpoklady!$D$18:$D$21,MATCH(M135,Předpoklady!$A$18:$A$21,1))</f>
        <v>0.0056</v>
      </c>
      <c r="O135" s="19" t="n">
        <f aca="false">M135*(1-N135/12)</f>
        <v>771509.765252763</v>
      </c>
      <c r="P135" s="19" t="n">
        <f aca="false">P134+M135*N135/12</f>
        <v>24132.5774658139</v>
      </c>
    </row>
    <row r="136" customFormat="false" ht="15" hidden="false" customHeight="false" outlineLevel="0" collapsed="false">
      <c r="A136" s="18" t="n">
        <v>135</v>
      </c>
      <c r="B136" s="18" t="n">
        <f aca="false">ROUNDUP(A136/12,0)</f>
        <v>12</v>
      </c>
      <c r="C136" s="17" t="n">
        <f aca="false">Předpoklady!$B$4</f>
        <v>4000</v>
      </c>
      <c r="D136" s="19" t="n">
        <f aca="false">(F135+C136)*(1+Předpoklady!$B$12)</f>
        <v>784323.568130382</v>
      </c>
      <c r="E136" s="13" t="n">
        <f aca="false">INDEX(Předpoklady!$C$18:$C$21,MATCH(D136,Předpoklady!$A$18:$A$21,1))</f>
        <v>0.0048</v>
      </c>
      <c r="F136" s="19" t="n">
        <f aca="false">D136*(1-E136/12)</f>
        <v>784009.838703129</v>
      </c>
      <c r="G136" s="19" t="n">
        <f aca="false">(G135+C136)*(1+Předpoklady!$B$12)*(1-Předpoklady!$B$9/12)</f>
        <v>796251.451602409</v>
      </c>
      <c r="H136" s="19" t="n">
        <f aca="false">IF(AND(A136&gt;12,MOD(A136,12)=Předpoklady!$B$8),Předpoklady!$B$14,0)</f>
        <v>0</v>
      </c>
      <c r="I136" s="19" t="n">
        <f aca="false">I135+H136</f>
        <v>72000</v>
      </c>
      <c r="J136" s="19" t="n">
        <f aca="false">J135*(1+Předpoklady!$B$12)*(1-Předpoklady!$B$9/12)+H136</f>
        <v>103968.036095071</v>
      </c>
      <c r="K136" s="19" t="n">
        <f aca="false">K135+D136*E136/12</f>
        <v>21078.9014404905</v>
      </c>
      <c r="L136" s="19" t="n">
        <f aca="false">L135+((G135+C136)+J135)*(1+Předpoklady!$B$12)*Předpoklady!$B$9/12</f>
        <v>13412.1556730425</v>
      </c>
      <c r="M136" s="19" t="n">
        <f aca="false">(O135+C136)*(1+Předpoklady!$B$12)</f>
        <v>779894.610214854</v>
      </c>
      <c r="N136" s="13" t="n">
        <f aca="false">INDEX(Předpoklady!$D$18:$D$21,MATCH(M136,Předpoklady!$A$18:$A$21,1))</f>
        <v>0.0056</v>
      </c>
      <c r="O136" s="19" t="n">
        <f aca="false">M136*(1-N136/12)</f>
        <v>779530.659396754</v>
      </c>
      <c r="P136" s="19" t="n">
        <f aca="false">P135+M136*N136/12</f>
        <v>24496.5282839142</v>
      </c>
    </row>
    <row r="137" customFormat="false" ht="15" hidden="false" customHeight="false" outlineLevel="0" collapsed="false">
      <c r="A137" s="18" t="n">
        <v>136</v>
      </c>
      <c r="B137" s="18" t="n">
        <f aca="false">ROUNDUP(A137/12,0)</f>
        <v>12</v>
      </c>
      <c r="C137" s="17" t="n">
        <f aca="false">Předpoklady!$B$4</f>
        <v>4000</v>
      </c>
      <c r="D137" s="19" t="n">
        <f aca="false">(F136+C137)*(1+Předpoklady!$B$12)</f>
        <v>792465.360897863</v>
      </c>
      <c r="E137" s="13" t="n">
        <f aca="false">INDEX(Předpoklady!$C$18:$C$21,MATCH(D137,Předpoklady!$A$18:$A$21,1))</f>
        <v>0.0048</v>
      </c>
      <c r="F137" s="19" t="n">
        <f aca="false">D137*(1-E137/12)</f>
        <v>792148.374753504</v>
      </c>
      <c r="G137" s="19" t="n">
        <f aca="false">(G136+C137)*(1+Předpoklady!$B$12)*(1-Předpoklady!$B$9/12)</f>
        <v>804574.995608837</v>
      </c>
      <c r="H137" s="19" t="n">
        <f aca="false">IF(AND(A137&gt;12,MOD(A137,12)=Předpoklady!$B$8),Předpoklady!$B$14,0)</f>
        <v>7200</v>
      </c>
      <c r="I137" s="19" t="n">
        <f aca="false">I136+H137</f>
        <v>79200</v>
      </c>
      <c r="J137" s="19" t="n">
        <f aca="false">J136*(1+Předpoklady!$B$12)*(1-Předpoklady!$B$9/12)+H137</f>
        <v>111729.747515174</v>
      </c>
      <c r="K137" s="19" t="n">
        <f aca="false">K136+D137*E137/12</f>
        <v>21395.8875848496</v>
      </c>
      <c r="L137" s="19" t="n">
        <f aca="false">L136+((G136+C137)+J136)*(1+Předpoklady!$B$12)*Předpoklady!$B$9/12</f>
        <v>13639.4886920783</v>
      </c>
      <c r="M137" s="19" t="n">
        <f aca="false">(O136+C137)*(1+Předpoklady!$B$12)</f>
        <v>787960.855660473</v>
      </c>
      <c r="N137" s="13" t="n">
        <f aca="false">INDEX(Předpoklady!$D$18:$D$21,MATCH(M137,Předpoklady!$A$18:$A$21,1))</f>
        <v>0.0056</v>
      </c>
      <c r="O137" s="19" t="n">
        <f aca="false">M137*(1-N137/12)</f>
        <v>787593.140594498</v>
      </c>
      <c r="P137" s="19" t="n">
        <f aca="false">P136+M137*N137/12</f>
        <v>24864.2433498891</v>
      </c>
    </row>
    <row r="138" customFormat="false" ht="15" hidden="false" customHeight="false" outlineLevel="0" collapsed="false">
      <c r="A138" s="18" t="n">
        <v>137</v>
      </c>
      <c r="B138" s="18" t="n">
        <f aca="false">ROUNDUP(A138/12,0)</f>
        <v>12</v>
      </c>
      <c r="C138" s="17" t="n">
        <f aca="false">Předpoklady!$B$4</f>
        <v>4000</v>
      </c>
      <c r="D138" s="19" t="n">
        <f aca="false">(F137+C138)*(1+Předpoklady!$B$12)</f>
        <v>800649.913414306</v>
      </c>
      <c r="E138" s="13" t="n">
        <f aca="false">INDEX(Předpoklady!$C$18:$C$21,MATCH(D138,Předpoklady!$A$18:$A$21,1))</f>
        <v>0.0048</v>
      </c>
      <c r="F138" s="19" t="n">
        <f aca="false">D138*(1-E138/12)</f>
        <v>800329.653448941</v>
      </c>
      <c r="G138" s="19" t="n">
        <f aca="false">(G137+C138)*(1+Předpoklady!$B$12)*(1-Předpoklady!$B$9/12)</f>
        <v>812943.509491582</v>
      </c>
      <c r="H138" s="19" t="n">
        <f aca="false">IF(AND(A138&gt;12,MOD(A138,12)=Předpoklady!$B$8),Předpoklady!$B$14,0)</f>
        <v>0</v>
      </c>
      <c r="I138" s="19" t="n">
        <f aca="false">I137+H138</f>
        <v>79200</v>
      </c>
      <c r="J138" s="19" t="n">
        <f aca="false">J137*(1+Předpoklady!$B$12)*(1-Předpoklady!$B$9/12)+H138</f>
        <v>112333.393380785</v>
      </c>
      <c r="K138" s="19" t="n">
        <f aca="false">K137+D138*E138/12</f>
        <v>21716.1475502153</v>
      </c>
      <c r="L138" s="19" t="n">
        <f aca="false">L137+((G137+C138)+J137)*(1+Předpoklady!$B$12)*Předpoklady!$B$9/12</f>
        <v>13870.8657620639</v>
      </c>
      <c r="M138" s="19" t="n">
        <f aca="false">(O137+C138)*(1+Předpoklady!$B$12)</f>
        <v>796068.923299092</v>
      </c>
      <c r="N138" s="13" t="n">
        <f aca="false">INDEX(Předpoklady!$D$18:$D$21,MATCH(M138,Předpoklady!$A$18:$A$21,1))</f>
        <v>0.0056</v>
      </c>
      <c r="O138" s="19" t="n">
        <f aca="false">M138*(1-N138/12)</f>
        <v>795697.424468219</v>
      </c>
      <c r="P138" s="19" t="n">
        <f aca="false">P137+M138*N138/12</f>
        <v>25235.742180762</v>
      </c>
    </row>
    <row r="139" customFormat="false" ht="15" hidden="false" customHeight="false" outlineLevel="0" collapsed="false">
      <c r="A139" s="18" t="n">
        <v>138</v>
      </c>
      <c r="B139" s="18" t="n">
        <f aca="false">ROUNDUP(A139/12,0)</f>
        <v>12</v>
      </c>
      <c r="C139" s="17" t="n">
        <f aca="false">Předpoklady!$B$4</f>
        <v>4000</v>
      </c>
      <c r="D139" s="19" t="n">
        <f aca="false">(F138+C139)*(1+Předpoklady!$B$12)</f>
        <v>808877.450248942</v>
      </c>
      <c r="E139" s="13" t="n">
        <f aca="false">INDEX(Předpoklady!$C$18:$C$21,MATCH(D139,Předpoklady!$A$18:$A$21,1))</f>
        <v>0.0048</v>
      </c>
      <c r="F139" s="19" t="n">
        <f aca="false">D139*(1-E139/12)</f>
        <v>808553.899268843</v>
      </c>
      <c r="G139" s="19" t="n">
        <f aca="false">(G138+C139)*(1+Předpoklady!$B$12)*(1-Předpoklady!$B$9/12)</f>
        <v>821357.236210828</v>
      </c>
      <c r="H139" s="19" t="n">
        <f aca="false">IF(AND(A139&gt;12,MOD(A139,12)=Předpoklady!$B$8),Předpoklady!$B$14,0)</f>
        <v>0</v>
      </c>
      <c r="I139" s="19" t="n">
        <f aca="false">I138+H139</f>
        <v>79200</v>
      </c>
      <c r="J139" s="19" t="n">
        <f aca="false">J138*(1+Předpoklady!$B$12)*(1-Předpoklady!$B$9/12)+H139</f>
        <v>112940.30058314</v>
      </c>
      <c r="K139" s="19" t="n">
        <f aca="false">K138+D139*E139/12</f>
        <v>22039.6985303149</v>
      </c>
      <c r="L139" s="19" t="n">
        <f aca="false">L138+((G138+C139)+J138)*(1+Předpoklady!$B$12)*Předpoklady!$B$9/12</f>
        <v>14104.4985544605</v>
      </c>
      <c r="M139" s="19" t="n">
        <f aca="false">(O138+C139)*(1+Předpoklady!$B$12)</f>
        <v>804219.029972096</v>
      </c>
      <c r="N139" s="13" t="n">
        <f aca="false">INDEX(Předpoklady!$D$18:$D$21,MATCH(M139,Předpoklady!$A$18:$A$21,1))</f>
        <v>0.0056</v>
      </c>
      <c r="O139" s="19" t="n">
        <f aca="false">M139*(1-N139/12)</f>
        <v>803843.727758109</v>
      </c>
      <c r="P139" s="19" t="n">
        <f aca="false">P138+M139*N139/12</f>
        <v>25611.044394749</v>
      </c>
    </row>
    <row r="140" customFormat="false" ht="15" hidden="false" customHeight="false" outlineLevel="0" collapsed="false">
      <c r="A140" s="18" t="n">
        <v>139</v>
      </c>
      <c r="B140" s="18" t="n">
        <f aca="false">ROUNDUP(A140/12,0)</f>
        <v>12</v>
      </c>
      <c r="C140" s="17" t="n">
        <f aca="false">Předpoklady!$B$4</f>
        <v>4000</v>
      </c>
      <c r="D140" s="19" t="n">
        <f aca="false">(F139+C140)*(1+Předpoklady!$B$12)</f>
        <v>817148.197150412</v>
      </c>
      <c r="E140" s="13" t="n">
        <f aca="false">INDEX(Předpoklady!$C$18:$C$21,MATCH(D140,Předpoklady!$A$18:$A$21,1))</f>
        <v>0.0048</v>
      </c>
      <c r="F140" s="19" t="n">
        <f aca="false">D140*(1-E140/12)</f>
        <v>816821.337871552</v>
      </c>
      <c r="G140" s="19" t="n">
        <f aca="false">(G139+C140)*(1+Předpoklady!$B$12)*(1-Předpoklady!$B$9/12)</f>
        <v>829816.420039406</v>
      </c>
      <c r="H140" s="19" t="n">
        <f aca="false">IF(AND(A140&gt;12,MOD(A140,12)=Předpoklady!$B$8),Předpoklady!$B$14,0)</f>
        <v>0</v>
      </c>
      <c r="I140" s="19" t="n">
        <f aca="false">I139+H140</f>
        <v>79200</v>
      </c>
      <c r="J140" s="19" t="n">
        <f aca="false">J139*(1+Předpoklady!$B$12)*(1-Předpoklady!$B$9/12)+H140</f>
        <v>113550.486742369</v>
      </c>
      <c r="K140" s="19" t="n">
        <f aca="false">K139+D140*E140/12</f>
        <v>22366.5578091751</v>
      </c>
      <c r="L140" s="19" t="n">
        <f aca="false">L139+((G139+C140)+J139)*(1+Předpoklady!$B$12)*Předpoklady!$B$9/12</f>
        <v>14340.3992563314</v>
      </c>
      <c r="M140" s="19" t="n">
        <f aca="false">(O139+C140)*(1+Předpoklady!$B$12)</f>
        <v>812411.393645157</v>
      </c>
      <c r="N140" s="13" t="n">
        <f aca="false">INDEX(Předpoklady!$D$18:$D$21,MATCH(M140,Předpoklady!$A$18:$A$21,1))</f>
        <v>0.0056</v>
      </c>
      <c r="O140" s="19" t="n">
        <f aca="false">M140*(1-N140/12)</f>
        <v>812032.268328123</v>
      </c>
      <c r="P140" s="19" t="n">
        <f aca="false">P139+M140*N140/12</f>
        <v>25990.1697117834</v>
      </c>
    </row>
    <row r="141" customFormat="false" ht="15" hidden="false" customHeight="false" outlineLevel="0" collapsed="false">
      <c r="A141" s="18" t="n">
        <v>140</v>
      </c>
      <c r="B141" s="18" t="n">
        <f aca="false">ROUNDUP(A141/12,0)</f>
        <v>12</v>
      </c>
      <c r="C141" s="17" t="n">
        <f aca="false">Předpoklady!$B$4</f>
        <v>4000</v>
      </c>
      <c r="D141" s="19" t="n">
        <f aca="false">(F140+C141)*(1+Předpoklady!$B$12)</f>
        <v>825462.381052962</v>
      </c>
      <c r="E141" s="13" t="n">
        <f aca="false">INDEX(Předpoklady!$C$18:$C$21,MATCH(D141,Předpoklady!$A$18:$A$21,1))</f>
        <v>0.0048</v>
      </c>
      <c r="F141" s="19" t="n">
        <f aca="false">D141*(1-E141/12)</f>
        <v>825132.196100541</v>
      </c>
      <c r="G141" s="19" t="n">
        <f aca="false">(G140+C141)*(1+Předpoklady!$B$12)*(1-Předpoklady!$B$9/12)</f>
        <v>838321.306569888</v>
      </c>
      <c r="H141" s="19" t="n">
        <f aca="false">IF(AND(A141&gt;12,MOD(A141,12)=Předpoklady!$B$8),Předpoklady!$B$14,0)</f>
        <v>0</v>
      </c>
      <c r="I141" s="19" t="n">
        <f aca="false">I140+H141</f>
        <v>79200</v>
      </c>
      <c r="J141" s="19" t="n">
        <f aca="false">J140*(1+Předpoklady!$B$12)*(1-Předpoklady!$B$9/12)+H141</f>
        <v>114163.969573795</v>
      </c>
      <c r="K141" s="19" t="n">
        <f aca="false">K140+D141*E141/12</f>
        <v>22696.7427615962</v>
      </c>
      <c r="L141" s="19" t="n">
        <f aca="false">L140+((G140+C141)+J140)*(1+Předpoklady!$B$12)*Předpoklady!$B$9/12</f>
        <v>14578.5801205834</v>
      </c>
      <c r="M141" s="19" t="n">
        <f aca="false">(O140+C141)*(1+Předpoklady!$B$12)</f>
        <v>820646.233414064</v>
      </c>
      <c r="N141" s="13" t="n">
        <f aca="false">INDEX(Předpoklady!$D$18:$D$21,MATCH(M141,Předpoklady!$A$18:$A$21,1))</f>
        <v>0.0056</v>
      </c>
      <c r="O141" s="19" t="n">
        <f aca="false">M141*(1-N141/12)</f>
        <v>820263.265171804</v>
      </c>
      <c r="P141" s="19" t="n">
        <f aca="false">P140+M141*N141/12</f>
        <v>26373.1379540433</v>
      </c>
    </row>
    <row r="142" customFormat="false" ht="15" hidden="false" customHeight="false" outlineLevel="0" collapsed="false">
      <c r="A142" s="18" t="n">
        <v>141</v>
      </c>
      <c r="B142" s="18" t="n">
        <f aca="false">ROUNDUP(A142/12,0)</f>
        <v>12</v>
      </c>
      <c r="C142" s="17" t="n">
        <f aca="false">Předpoklady!$B$4</f>
        <v>4000</v>
      </c>
      <c r="D142" s="19" t="n">
        <f aca="false">(F141+C142)*(1+Předpoklady!$B$12)</f>
        <v>833820.230082672</v>
      </c>
      <c r="E142" s="13" t="n">
        <f aca="false">INDEX(Předpoklady!$C$18:$C$21,MATCH(D142,Předpoklady!$A$18:$A$21,1))</f>
        <v>0.0048</v>
      </c>
      <c r="F142" s="19" t="n">
        <f aca="false">D142*(1-E142/12)</f>
        <v>833486.701990639</v>
      </c>
      <c r="G142" s="19" t="n">
        <f aca="false">(G141+C142)*(1+Předpoklady!$B$12)*(1-Předpoklady!$B$9/12)</f>
        <v>846872.142721718</v>
      </c>
      <c r="H142" s="19" t="n">
        <f aca="false">IF(AND(A142&gt;12,MOD(A142,12)=Předpoklady!$B$8),Předpoklady!$B$14,0)</f>
        <v>0</v>
      </c>
      <c r="I142" s="19" t="n">
        <f aca="false">I141+H142</f>
        <v>79200</v>
      </c>
      <c r="J142" s="19" t="n">
        <f aca="false">J141*(1+Předpoklady!$B$12)*(1-Předpoklady!$B$9/12)+H142</f>
        <v>114780.766888455</v>
      </c>
      <c r="K142" s="19" t="n">
        <f aca="false">K141+D142*E142/12</f>
        <v>23030.2708536293</v>
      </c>
      <c r="L142" s="19" t="n">
        <f aca="false">L141+((G141+C142)+J141)*(1+Předpoklady!$B$12)*Předpoklady!$B$9/12</f>
        <v>14819.0534663223</v>
      </c>
      <c r="M142" s="19" t="n">
        <f aca="false">(O141+C142)*(1+Předpoklady!$B$12)</f>
        <v>828923.769510583</v>
      </c>
      <c r="N142" s="13" t="n">
        <f aca="false">INDEX(Předpoklady!$D$18:$D$21,MATCH(M142,Předpoklady!$A$18:$A$21,1))</f>
        <v>0.0056</v>
      </c>
      <c r="O142" s="19" t="n">
        <f aca="false">M142*(1-N142/12)</f>
        <v>828536.938418145</v>
      </c>
      <c r="P142" s="19" t="n">
        <f aca="false">P141+M142*N142/12</f>
        <v>26759.9690464816</v>
      </c>
    </row>
    <row r="143" customFormat="false" ht="15" hidden="false" customHeight="false" outlineLevel="0" collapsed="false">
      <c r="A143" s="18" t="n">
        <v>142</v>
      </c>
      <c r="B143" s="18" t="n">
        <f aca="false">ROUNDUP(A143/12,0)</f>
        <v>12</v>
      </c>
      <c r="C143" s="17" t="n">
        <f aca="false">Předpoklady!$B$4</f>
        <v>4000</v>
      </c>
      <c r="D143" s="19" t="n">
        <f aca="false">(F142+C143)*(1+Předpoklady!$B$12)</f>
        <v>842221.973563713</v>
      </c>
      <c r="E143" s="13" t="n">
        <f aca="false">INDEX(Předpoklady!$C$18:$C$21,MATCH(D143,Předpoklady!$A$18:$A$21,1))</f>
        <v>0.0048</v>
      </c>
      <c r="F143" s="19" t="n">
        <f aca="false">D143*(1-E143/12)</f>
        <v>841885.084774287</v>
      </c>
      <c r="G143" s="19" t="n">
        <f aca="false">(G142+C143)*(1+Předpoklady!$B$12)*(1-Předpoklady!$B$9/12)</f>
        <v>855469.176748379</v>
      </c>
      <c r="H143" s="19" t="n">
        <f aca="false">IF(AND(A143&gt;12,MOD(A143,12)=Předpoklady!$B$8),Předpoklady!$B$14,0)</f>
        <v>0</v>
      </c>
      <c r="I143" s="19" t="n">
        <f aca="false">I142+H143</f>
        <v>79200</v>
      </c>
      <c r="J143" s="19" t="n">
        <f aca="false">J142*(1+Předpoklady!$B$12)*(1-Předpoklady!$B$9/12)+H143</f>
        <v>115400.896593612</v>
      </c>
      <c r="K143" s="19" t="n">
        <f aca="false">K142+D143*E143/12</f>
        <v>23367.1596430548</v>
      </c>
      <c r="L143" s="19" t="n">
        <f aca="false">L142+((G142+C143)+J142)*(1+Předpoklady!$B$12)*Předpoklady!$B$9/12</f>
        <v>15061.8316792111</v>
      </c>
      <c r="M143" s="19" t="n">
        <f aca="false">(O142+C143)*(1+Předpoklady!$B$12)</f>
        <v>837244.223308346</v>
      </c>
      <c r="N143" s="13" t="n">
        <f aca="false">INDEX(Předpoklady!$D$18:$D$21,MATCH(M143,Předpoklady!$A$18:$A$21,1))</f>
        <v>0.0056</v>
      </c>
      <c r="O143" s="19" t="n">
        <f aca="false">M143*(1-N143/12)</f>
        <v>836853.509337469</v>
      </c>
      <c r="P143" s="19" t="n">
        <f aca="false">P142+M143*N143/12</f>
        <v>27150.6830173588</v>
      </c>
    </row>
    <row r="144" customFormat="false" ht="15" hidden="false" customHeight="false" outlineLevel="0" collapsed="false">
      <c r="A144" s="18" t="n">
        <v>143</v>
      </c>
      <c r="B144" s="18" t="n">
        <f aca="false">ROUNDUP(A144/12,0)</f>
        <v>12</v>
      </c>
      <c r="C144" s="17" t="n">
        <f aca="false">Předpoklady!$B$4</f>
        <v>4000</v>
      </c>
      <c r="D144" s="19" t="n">
        <f aca="false">(F143+C144)*(1+Předpoklady!$B$12)</f>
        <v>850667.842024639</v>
      </c>
      <c r="E144" s="13" t="n">
        <f aca="false">INDEX(Předpoklady!$C$18:$C$21,MATCH(D144,Předpoklady!$A$18:$A$21,1))</f>
        <v>0.0048</v>
      </c>
      <c r="F144" s="19" t="n">
        <f aca="false">D144*(1-E144/12)</f>
        <v>850327.574887829</v>
      </c>
      <c r="G144" s="19" t="n">
        <f aca="false">(G143+C144)*(1+Předpoklady!$B$12)*(1-Předpoklady!$B$9/12)</f>
        <v>864112.658244601</v>
      </c>
      <c r="H144" s="19" t="n">
        <f aca="false">IF(AND(A144&gt;12,MOD(A144,12)=Předpoklady!$B$8),Předpoklady!$B$14,0)</f>
        <v>0</v>
      </c>
      <c r="I144" s="19" t="n">
        <f aca="false">I143+H144</f>
        <v>79200</v>
      </c>
      <c r="J144" s="19" t="n">
        <f aca="false">J143*(1+Předpoklady!$B$12)*(1-Předpoklady!$B$9/12)+H144</f>
        <v>116024.376693279</v>
      </c>
      <c r="K144" s="19" t="n">
        <f aca="false">K143+D144*E144/12</f>
        <v>23707.4267798646</v>
      </c>
      <c r="L144" s="19" t="n">
        <f aca="false">L143+((G143+C144)+J143)*(1+Předpoklady!$B$12)*Předpoklady!$B$9/12</f>
        <v>15306.9272118287</v>
      </c>
      <c r="M144" s="19" t="n">
        <f aca="false">(O143+C144)*(1+Předpoklady!$B$12)</f>
        <v>845607.817328773</v>
      </c>
      <c r="N144" s="13" t="n">
        <f aca="false">INDEX(Předpoklady!$D$18:$D$21,MATCH(M144,Předpoklady!$A$18:$A$21,1))</f>
        <v>0.0056</v>
      </c>
      <c r="O144" s="19" t="n">
        <f aca="false">M144*(1-N144/12)</f>
        <v>845213.200347353</v>
      </c>
      <c r="P144" s="19" t="n">
        <f aca="false">P143+M144*N144/12</f>
        <v>27545.2999987789</v>
      </c>
    </row>
    <row r="145" customFormat="false" ht="15" hidden="false" customHeight="false" outlineLevel="0" collapsed="false">
      <c r="A145" s="18" t="n">
        <v>144</v>
      </c>
      <c r="B145" s="18" t="n">
        <f aca="false">ROUNDUP(A145/12,0)</f>
        <v>12</v>
      </c>
      <c r="C145" s="17" t="n">
        <f aca="false">Předpoklady!$B$4</f>
        <v>4000</v>
      </c>
      <c r="D145" s="19" t="n">
        <f aca="false">(F144+C145)*(1+Předpoklady!$B$12)</f>
        <v>859158.067204714</v>
      </c>
      <c r="E145" s="13" t="n">
        <f aca="false">INDEX(Předpoklady!$C$18:$C$21,MATCH(D145,Předpoklady!$A$18:$A$21,1))</f>
        <v>0.0048</v>
      </c>
      <c r="F145" s="19" t="n">
        <f aca="false">D145*(1-E145/12)</f>
        <v>858814.403977832</v>
      </c>
      <c r="G145" s="19" t="n">
        <f aca="false">(G144+C145)*(1+Předpoklady!$B$12)*(1-Předpoklady!$B$9/12)</f>
        <v>872802.838153606</v>
      </c>
      <c r="H145" s="19" t="n">
        <f aca="false">IF(AND(A145&gt;12,MOD(A145,12)=Předpoklady!$B$8),Předpoklady!$B$14,0)</f>
        <v>0</v>
      </c>
      <c r="I145" s="19" t="n">
        <f aca="false">I144+H145</f>
        <v>79200</v>
      </c>
      <c r="J145" s="19" t="n">
        <f aca="false">J144*(1+Předpoklady!$B$12)*(1-Předpoklady!$B$9/12)+H145</f>
        <v>116651.225288739</v>
      </c>
      <c r="K145" s="19" t="n">
        <f aca="false">K144+D145*E145/12</f>
        <v>24051.0900067465</v>
      </c>
      <c r="L145" s="19" t="n">
        <f aca="false">L144+((G144+C145)+J144)*(1+Předpoklady!$B$12)*Předpoklady!$B$9/12</f>
        <v>15554.3525840323</v>
      </c>
      <c r="M145" s="19" t="n">
        <f aca="false">(O144+C145)*(1+Předpoklady!$B$12)</f>
        <v>854014.77524702</v>
      </c>
      <c r="N145" s="13" t="n">
        <f aca="false">INDEX(Předpoklady!$D$18:$D$21,MATCH(M145,Předpoklady!$A$18:$A$21,1))</f>
        <v>0.0056</v>
      </c>
      <c r="O145" s="19" t="n">
        <f aca="false">M145*(1-N145/12)</f>
        <v>853616.235018572</v>
      </c>
      <c r="P145" s="19" t="n">
        <f aca="false">P144+M145*N145/12</f>
        <v>27943.8402272275</v>
      </c>
    </row>
    <row r="146" customFormat="false" ht="15" hidden="false" customHeight="false" outlineLevel="0" collapsed="false">
      <c r="A146" s="18" t="n">
        <v>145</v>
      </c>
      <c r="B146" s="18" t="n">
        <f aca="false">ROUNDUP(A146/12,0)</f>
        <v>13</v>
      </c>
      <c r="C146" s="17" t="n">
        <f aca="false">Předpoklady!$B$4</f>
        <v>4000</v>
      </c>
      <c r="D146" s="19" t="n">
        <f aca="false">(F145+C146)*(1+Předpoklady!$B$12)</f>
        <v>867692.88206027</v>
      </c>
      <c r="E146" s="13" t="n">
        <f aca="false">INDEX(Předpoklady!$C$18:$C$21,MATCH(D146,Předpoklady!$A$18:$A$21,1))</f>
        <v>0.0048</v>
      </c>
      <c r="F146" s="19" t="n">
        <f aca="false">D146*(1-E146/12)</f>
        <v>867345.804907446</v>
      </c>
      <c r="G146" s="19" t="n">
        <f aca="false">(G145+C146)*(1+Předpoklady!$B$12)*(1-Předpoklady!$B$9/12)</f>
        <v>881539.968774397</v>
      </c>
      <c r="H146" s="19" t="n">
        <f aca="false">IF(AND(A146&gt;12,MOD(A146,12)=Předpoklady!$B$8),Předpoklady!$B$14,0)</f>
        <v>0</v>
      </c>
      <c r="I146" s="19" t="n">
        <f aca="false">I145+H146</f>
        <v>79200</v>
      </c>
      <c r="J146" s="19" t="n">
        <f aca="false">J145*(1+Předpoklady!$B$12)*(1-Předpoklady!$B$9/12)+H146</f>
        <v>117281.460579072</v>
      </c>
      <c r="K146" s="19" t="n">
        <f aca="false">K145+D146*E146/12</f>
        <v>24398.1671595706</v>
      </c>
      <c r="L146" s="19" t="n">
        <f aca="false">L145+((G145+C146)+J145)*(1+Předpoklady!$B$12)*Předpoklady!$B$9/12</f>
        <v>15804.1203833205</v>
      </c>
      <c r="M146" s="19" t="n">
        <f aca="false">(O145+C146)*(1+Předpoklady!$B$12)</f>
        <v>862465.321897966</v>
      </c>
      <c r="N146" s="13" t="n">
        <f aca="false">INDEX(Předpoklady!$D$18:$D$21,MATCH(M146,Předpoklady!$A$18:$A$21,1))</f>
        <v>0.0056</v>
      </c>
      <c r="O146" s="19" t="n">
        <f aca="false">M146*(1-N146/12)</f>
        <v>862062.83808108</v>
      </c>
      <c r="P146" s="19" t="n">
        <f aca="false">P145+M146*N146/12</f>
        <v>28346.3240441132</v>
      </c>
    </row>
    <row r="147" customFormat="false" ht="15" hidden="false" customHeight="false" outlineLevel="0" collapsed="false">
      <c r="A147" s="18" t="n">
        <v>146</v>
      </c>
      <c r="B147" s="18" t="n">
        <f aca="false">ROUNDUP(A147/12,0)</f>
        <v>13</v>
      </c>
      <c r="C147" s="17" t="n">
        <f aca="false">Předpoklady!$B$4</f>
        <v>4000</v>
      </c>
      <c r="D147" s="19" t="n">
        <f aca="false">(F146+C147)*(1+Předpoklady!$B$12)</f>
        <v>876272.520771099</v>
      </c>
      <c r="E147" s="13" t="n">
        <f aca="false">INDEX(Předpoklady!$C$18:$C$21,MATCH(D147,Předpoklady!$A$18:$A$21,1))</f>
        <v>0.0048</v>
      </c>
      <c r="F147" s="19" t="n">
        <f aca="false">D147*(1-E147/12)</f>
        <v>875922.01176279</v>
      </c>
      <c r="G147" s="19" t="n">
        <f aca="false">(G146+C147)*(1+Předpoklady!$B$12)*(1-Předpoklady!$B$9/12)</f>
        <v>890324.30376908</v>
      </c>
      <c r="H147" s="19" t="n">
        <f aca="false">IF(AND(A147&gt;12,MOD(A147,12)=Předpoklady!$B$8),Předpoklady!$B$14,0)</f>
        <v>0</v>
      </c>
      <c r="I147" s="19" t="n">
        <f aca="false">I146+H147</f>
        <v>79200</v>
      </c>
      <c r="J147" s="19" t="n">
        <f aca="false">J146*(1+Předpoklady!$B$12)*(1-Předpoklady!$B$9/12)+H147</f>
        <v>117915.100861681</v>
      </c>
      <c r="K147" s="19" t="n">
        <f aca="false">K146+D147*E147/12</f>
        <v>24748.6761678791</v>
      </c>
      <c r="L147" s="19" t="n">
        <f aca="false">L146+((G146+C147)+J146)*(1+Předpoklady!$B$12)*Předpoklady!$B$9/12</f>
        <v>16056.2432651987</v>
      </c>
      <c r="M147" s="19" t="n">
        <f aca="false">(O146+C147)*(1+Předpoklady!$B$12)</f>
        <v>870959.68328222</v>
      </c>
      <c r="N147" s="13" t="n">
        <f aca="false">INDEX(Předpoklady!$D$18:$D$21,MATCH(M147,Předpoklady!$A$18:$A$21,1))</f>
        <v>0.0056</v>
      </c>
      <c r="O147" s="19" t="n">
        <f aca="false">M147*(1-N147/12)</f>
        <v>870553.235430021</v>
      </c>
      <c r="P147" s="19" t="n">
        <f aca="false">P146+M147*N147/12</f>
        <v>28752.7718963116</v>
      </c>
    </row>
    <row r="148" customFormat="false" ht="15" hidden="false" customHeight="false" outlineLevel="0" collapsed="false">
      <c r="A148" s="18" t="n">
        <v>147</v>
      </c>
      <c r="B148" s="18" t="n">
        <f aca="false">ROUNDUP(A148/12,0)</f>
        <v>13</v>
      </c>
      <c r="C148" s="17" t="n">
        <f aca="false">Předpoklady!$B$4</f>
        <v>4000</v>
      </c>
      <c r="D148" s="19" t="n">
        <f aca="false">(F147+C148)*(1+Předpoklady!$B$12)</f>
        <v>884897.218746875</v>
      </c>
      <c r="E148" s="13" t="n">
        <f aca="false">INDEX(Předpoklady!$C$18:$C$21,MATCH(D148,Předpoklady!$A$18:$A$21,1))</f>
        <v>0.0048</v>
      </c>
      <c r="F148" s="19" t="n">
        <f aca="false">D148*(1-E148/12)</f>
        <v>884543.259859376</v>
      </c>
      <c r="G148" s="19" t="n">
        <f aca="false">(G147+C148)*(1+Předpoklady!$B$12)*(1-Předpoklady!$B$9/12)</f>
        <v>899156.098170229</v>
      </c>
      <c r="H148" s="19" t="n">
        <f aca="false">IF(AND(A148&gt;12,MOD(A148,12)=Předpoklady!$B$8),Předpoklady!$B$14,0)</f>
        <v>0</v>
      </c>
      <c r="I148" s="19" t="n">
        <f aca="false">I147+H148</f>
        <v>79200</v>
      </c>
      <c r="J148" s="19" t="n">
        <f aca="false">J147*(1+Předpoklady!$B$12)*(1-Předpoklady!$B$9/12)+H148</f>
        <v>118552.164532827</v>
      </c>
      <c r="K148" s="19" t="n">
        <f aca="false">K147+D148*E148/12</f>
        <v>25102.6350553778</v>
      </c>
      <c r="L148" s="19" t="n">
        <f aca="false">L147+((G147+C148)+J147)*(1+Předpoklady!$B$12)*Předpoklady!$B$9/12</f>
        <v>16310.7339535465</v>
      </c>
      <c r="M148" s="19" t="n">
        <f aca="false">(O147+C148)*(1+Předpoklady!$B$12)</f>
        <v>879498.086572168</v>
      </c>
      <c r="N148" s="13" t="n">
        <f aca="false">INDEX(Předpoklady!$D$18:$D$21,MATCH(M148,Předpoklady!$A$18:$A$21,1))</f>
        <v>0.0056</v>
      </c>
      <c r="O148" s="19" t="n">
        <f aca="false">M148*(1-N148/12)</f>
        <v>879087.654131768</v>
      </c>
      <c r="P148" s="19" t="n">
        <f aca="false">P147+M148*N148/12</f>
        <v>29163.2043367119</v>
      </c>
    </row>
    <row r="149" customFormat="false" ht="15" hidden="false" customHeight="false" outlineLevel="0" collapsed="false">
      <c r="A149" s="18" t="n">
        <v>148</v>
      </c>
      <c r="B149" s="18" t="n">
        <f aca="false">ROUNDUP(A149/12,0)</f>
        <v>13</v>
      </c>
      <c r="C149" s="17" t="n">
        <f aca="false">Předpoklady!$B$4</f>
        <v>4000</v>
      </c>
      <c r="D149" s="19" t="n">
        <f aca="false">(F148+C149)*(1+Předpoklady!$B$12)</f>
        <v>893567.21263362</v>
      </c>
      <c r="E149" s="13" t="n">
        <f aca="false">INDEX(Předpoklady!$C$18:$C$21,MATCH(D149,Předpoklady!$A$18:$A$21,1))</f>
        <v>0.0048</v>
      </c>
      <c r="F149" s="19" t="n">
        <f aca="false">D149*(1-E149/12)</f>
        <v>893209.785748567</v>
      </c>
      <c r="G149" s="19" t="n">
        <f aca="false">(G148+C149)*(1+Předpoklady!$B$12)*(1-Předpoklady!$B$9/12)</f>
        <v>908035.608388291</v>
      </c>
      <c r="H149" s="19" t="n">
        <f aca="false">IF(AND(A149&gt;12,MOD(A149,12)=Předpoklady!$B$8),Předpoklady!$B$14,0)</f>
        <v>7200</v>
      </c>
      <c r="I149" s="19" t="n">
        <f aca="false">I148+H149</f>
        <v>86400</v>
      </c>
      <c r="J149" s="19" t="n">
        <f aca="false">J148*(1+Předpoklady!$B$12)*(1-Předpoklady!$B$9/12)+H149</f>
        <v>126392.67008816</v>
      </c>
      <c r="K149" s="19" t="n">
        <f aca="false">K148+D149*E149/12</f>
        <v>25460.0619404313</v>
      </c>
      <c r="L149" s="19" t="n">
        <f aca="false">L148+((G148+C149)+J148)*(1+Předpoklady!$B$12)*Předpoklady!$B$9/12</f>
        <v>16567.6052409875</v>
      </c>
      <c r="M149" s="19" t="n">
        <f aca="false">(O148+C149)*(1+Předpoklady!$B$12)</f>
        <v>888080.760118052</v>
      </c>
      <c r="N149" s="13" t="n">
        <f aca="false">INDEX(Předpoklady!$D$18:$D$21,MATCH(M149,Předpoklady!$A$18:$A$21,1))</f>
        <v>0.0056</v>
      </c>
      <c r="O149" s="19" t="n">
        <f aca="false">M149*(1-N149/12)</f>
        <v>887666.322429996</v>
      </c>
      <c r="P149" s="19" t="n">
        <f aca="false">P148+M149*N149/12</f>
        <v>29577.642024767</v>
      </c>
    </row>
    <row r="150" customFormat="false" ht="15" hidden="false" customHeight="false" outlineLevel="0" collapsed="false">
      <c r="A150" s="18" t="n">
        <v>149</v>
      </c>
      <c r="B150" s="18" t="n">
        <f aca="false">ROUNDUP(A150/12,0)</f>
        <v>13</v>
      </c>
      <c r="C150" s="17" t="n">
        <f aca="false">Předpoklady!$B$4</f>
        <v>4000</v>
      </c>
      <c r="D150" s="19" t="n">
        <f aca="false">(F149+C150)*(1+Předpoklady!$B$12)</f>
        <v>902282.740320192</v>
      </c>
      <c r="E150" s="13" t="n">
        <f aca="false">INDEX(Předpoklady!$C$18:$C$21,MATCH(D150,Předpoklady!$A$18:$A$21,1))</f>
        <v>0.0048</v>
      </c>
      <c r="F150" s="19" t="n">
        <f aca="false">D150*(1-E150/12)</f>
        <v>901921.827224064</v>
      </c>
      <c r="G150" s="19" t="n">
        <f aca="false">(G149+C150)*(1+Předpoklady!$B$12)*(1-Předpoklady!$B$9/12)</f>
        <v>916963.092219029</v>
      </c>
      <c r="H150" s="19" t="n">
        <f aca="false">IF(AND(A150&gt;12,MOD(A150,12)=Předpoklady!$B$8),Předpoklady!$B$14,0)</f>
        <v>0</v>
      </c>
      <c r="I150" s="19" t="n">
        <f aca="false">I149+H150</f>
        <v>86400</v>
      </c>
      <c r="J150" s="19" t="n">
        <f aca="false">J149*(1+Předpoklady!$B$12)*(1-Předpoklady!$B$9/12)+H150</f>
        <v>127075.535792586</v>
      </c>
      <c r="K150" s="19" t="n">
        <f aca="false">K149+D150*E150/12</f>
        <v>25820.9750365594</v>
      </c>
      <c r="L150" s="19" t="n">
        <f aca="false">L149+((G149+C150)+J149)*(1+Předpoklady!$B$12)*Předpoklady!$B$9/12</f>
        <v>16828.6801667218</v>
      </c>
      <c r="M150" s="19" t="n">
        <f aca="false">(O149+C150)*(1+Předpoklady!$B$12)</f>
        <v>896707.933454069</v>
      </c>
      <c r="N150" s="13" t="n">
        <f aca="false">INDEX(Předpoklady!$D$18:$D$21,MATCH(M150,Předpoklady!$A$18:$A$21,1))</f>
        <v>0.0056</v>
      </c>
      <c r="O150" s="19" t="n">
        <f aca="false">M150*(1-N150/12)</f>
        <v>896289.46975179</v>
      </c>
      <c r="P150" s="19" t="n">
        <f aca="false">P149+M150*N150/12</f>
        <v>29996.1057270456</v>
      </c>
    </row>
    <row r="151" customFormat="false" ht="15" hidden="false" customHeight="false" outlineLevel="0" collapsed="false">
      <c r="A151" s="18" t="n">
        <v>150</v>
      </c>
      <c r="B151" s="18" t="n">
        <f aca="false">ROUNDUP(A151/12,0)</f>
        <v>13</v>
      </c>
      <c r="C151" s="17" t="n">
        <f aca="false">Předpoklady!$B$4</f>
        <v>4000</v>
      </c>
      <c r="D151" s="19" t="n">
        <f aca="false">(F150+C151)*(1+Předpoklady!$B$12)</f>
        <v>911044.040944813</v>
      </c>
      <c r="E151" s="13" t="n">
        <f aca="false">INDEX(Předpoklady!$C$18:$C$21,MATCH(D151,Předpoklady!$A$18:$A$21,1))</f>
        <v>0.0048</v>
      </c>
      <c r="F151" s="19" t="n">
        <f aca="false">D151*(1-E151/12)</f>
        <v>910679.623328435</v>
      </c>
      <c r="G151" s="19" t="n">
        <f aca="false">(G150+C151)*(1+Předpoklady!$B$12)*(1-Předpoklady!$B$9/12)</f>
        <v>925938.80885101</v>
      </c>
      <c r="H151" s="19" t="n">
        <f aca="false">IF(AND(A151&gt;12,MOD(A151,12)=Předpoklady!$B$8),Předpoklady!$B$14,0)</f>
        <v>0</v>
      </c>
      <c r="I151" s="19" t="n">
        <f aca="false">I150+H151</f>
        <v>86400</v>
      </c>
      <c r="J151" s="19" t="n">
        <f aca="false">J150*(1+Předpoklady!$B$12)*(1-Předpoklady!$B$9/12)+H151</f>
        <v>127762.090837303</v>
      </c>
      <c r="K151" s="19" t="n">
        <f aca="false">K150+D151*E151/12</f>
        <v>26185.3926529373</v>
      </c>
      <c r="L151" s="19" t="n">
        <f aca="false">L150+((G150+C151)+J150)*(1+Předpoklady!$B$12)*Předpoklady!$B$9/12</f>
        <v>17092.1712644183</v>
      </c>
      <c r="M151" s="19" t="n">
        <f aca="false">(O150+C151)*(1+Předpoklady!$B$12)</f>
        <v>905379.837304517</v>
      </c>
      <c r="N151" s="13" t="n">
        <f aca="false">INDEX(Předpoklady!$D$18:$D$21,MATCH(M151,Předpoklady!$A$18:$A$21,1))</f>
        <v>0.0056</v>
      </c>
      <c r="O151" s="19" t="n">
        <f aca="false">M151*(1-N151/12)</f>
        <v>904957.326713775</v>
      </c>
      <c r="P151" s="19" t="n">
        <f aca="false">P150+M151*N151/12</f>
        <v>30418.6163177877</v>
      </c>
    </row>
    <row r="152" customFormat="false" ht="15" hidden="false" customHeight="false" outlineLevel="0" collapsed="false">
      <c r="A152" s="18" t="n">
        <v>151</v>
      </c>
      <c r="B152" s="18" t="n">
        <f aca="false">ROUNDUP(A152/12,0)</f>
        <v>13</v>
      </c>
      <c r="C152" s="17" t="n">
        <f aca="false">Předpoklady!$B$4</f>
        <v>4000</v>
      </c>
      <c r="D152" s="19" t="n">
        <f aca="false">(F151+C152)*(1+Předpoklady!$B$12)</f>
        <v>919851.354901631</v>
      </c>
      <c r="E152" s="13" t="n">
        <f aca="false">INDEX(Předpoklady!$C$18:$C$21,MATCH(D152,Předpoklady!$A$18:$A$21,1))</f>
        <v>0.0048</v>
      </c>
      <c r="F152" s="19" t="n">
        <f aca="false">D152*(1-E152/12)</f>
        <v>919483.41435967</v>
      </c>
      <c r="G152" s="19" t="n">
        <f aca="false">(G151+C152)*(1+Předpoklady!$B$12)*(1-Předpoklady!$B$9/12)</f>
        <v>934963.018873125</v>
      </c>
      <c r="H152" s="19" t="n">
        <f aca="false">IF(AND(A152&gt;12,MOD(A152,12)=Předpoklady!$B$8),Předpoklady!$B$14,0)</f>
        <v>0</v>
      </c>
      <c r="I152" s="19" t="n">
        <f aca="false">I151+H152</f>
        <v>86400</v>
      </c>
      <c r="J152" s="19" t="n">
        <f aca="false">J151*(1+Předpoklady!$B$12)*(1-Předpoklady!$B$9/12)+H152</f>
        <v>128452.355154827</v>
      </c>
      <c r="K152" s="19" t="n">
        <f aca="false">K151+D152*E152/12</f>
        <v>26553.3331948979</v>
      </c>
      <c r="L152" s="19" t="n">
        <f aca="false">L151+((G151+C152)+J151)*(1+Předpoklady!$B$12)*Předpoklady!$B$9/12</f>
        <v>17358.0915880062</v>
      </c>
      <c r="M152" s="19" t="n">
        <f aca="false">(O151+C152)*(1+Předpoklady!$B$12)</f>
        <v>914096.703589962</v>
      </c>
      <c r="N152" s="13" t="n">
        <f aca="false">INDEX(Předpoklady!$D$18:$D$21,MATCH(M152,Předpoklady!$A$18:$A$21,1))</f>
        <v>0.0056</v>
      </c>
      <c r="O152" s="19" t="n">
        <f aca="false">M152*(1-N152/12)</f>
        <v>913670.125128286</v>
      </c>
      <c r="P152" s="19" t="n">
        <f aca="false">P151+M152*N152/12</f>
        <v>30845.194779463</v>
      </c>
    </row>
    <row r="153" customFormat="false" ht="15" hidden="false" customHeight="false" outlineLevel="0" collapsed="false">
      <c r="A153" s="18" t="n">
        <v>152</v>
      </c>
      <c r="B153" s="18" t="n">
        <f aca="false">ROUNDUP(A153/12,0)</f>
        <v>13</v>
      </c>
      <c r="C153" s="17" t="n">
        <f aca="false">Předpoklady!$B$4</f>
        <v>4000</v>
      </c>
      <c r="D153" s="19" t="n">
        <f aca="false">(F152+C153)*(1+Předpoklady!$B$12)</f>
        <v>928704.923847317</v>
      </c>
      <c r="E153" s="13" t="n">
        <f aca="false">INDEX(Předpoklady!$C$18:$C$21,MATCH(D153,Předpoklady!$A$18:$A$21,1))</f>
        <v>0.0048</v>
      </c>
      <c r="F153" s="19" t="n">
        <f aca="false">D153*(1-E153/12)</f>
        <v>928333.441877778</v>
      </c>
      <c r="G153" s="19" t="n">
        <f aca="false">(G152+C153)*(1+Předpoklady!$B$12)*(1-Předpoklady!$B$9/12)</f>
        <v>944035.984282157</v>
      </c>
      <c r="H153" s="19" t="n">
        <f aca="false">IF(AND(A153&gt;12,MOD(A153,12)=Předpoklady!$B$8),Předpoklady!$B$14,0)</f>
        <v>0</v>
      </c>
      <c r="I153" s="19" t="n">
        <f aca="false">I152+H153</f>
        <v>86400</v>
      </c>
      <c r="J153" s="19" t="n">
        <f aca="false">J152*(1+Předpoklady!$B$12)*(1-Předpoklady!$B$9/12)+H153</f>
        <v>129146.348785366</v>
      </c>
      <c r="K153" s="19" t="n">
        <f aca="false">K152+D153*E153/12</f>
        <v>26924.8151644369</v>
      </c>
      <c r="L153" s="19" t="n">
        <f aca="false">L152+((G152+C153)+J152)*(1+Předpoklady!$B$12)*Předpoklady!$B$9/12</f>
        <v>17626.4542619416</v>
      </c>
      <c r="M153" s="19" t="n">
        <f aca="false">(O152+C153)*(1+Předpoklady!$B$12)</f>
        <v>922858.76543344</v>
      </c>
      <c r="N153" s="13" t="n">
        <f aca="false">INDEX(Předpoklady!$D$18:$D$21,MATCH(M153,Předpoklady!$A$18:$A$21,1))</f>
        <v>0.0056</v>
      </c>
      <c r="O153" s="19" t="n">
        <f aca="false">M153*(1-N153/12)</f>
        <v>922428.098009571</v>
      </c>
      <c r="P153" s="19" t="n">
        <f aca="false">P152+M153*N153/12</f>
        <v>31275.8622033319</v>
      </c>
    </row>
    <row r="154" customFormat="false" ht="15" hidden="false" customHeight="false" outlineLevel="0" collapsed="false">
      <c r="A154" s="18" t="n">
        <v>153</v>
      </c>
      <c r="B154" s="18" t="n">
        <f aca="false">ROUNDUP(A154/12,0)</f>
        <v>13</v>
      </c>
      <c r="C154" s="17" t="n">
        <f aca="false">Předpoklady!$B$4</f>
        <v>4000</v>
      </c>
      <c r="D154" s="19" t="n">
        <f aca="false">(F153+C154)*(1+Předpoklady!$B$12)</f>
        <v>937604.990707695</v>
      </c>
      <c r="E154" s="13" t="n">
        <f aca="false">INDEX(Předpoklady!$C$18:$C$21,MATCH(D154,Předpoklady!$A$18:$A$21,1))</f>
        <v>0.0048</v>
      </c>
      <c r="F154" s="19" t="n">
        <f aca="false">D154*(1-E154/12)</f>
        <v>937229.948711412</v>
      </c>
      <c r="G154" s="19" t="n">
        <f aca="false">(G153+C154)*(1+Předpoklady!$B$12)*(1-Předpoklady!$B$9/12)</f>
        <v>953157.968490388</v>
      </c>
      <c r="H154" s="19" t="n">
        <f aca="false">IF(AND(A154&gt;12,MOD(A154,12)=Předpoklady!$B$8),Předpoklady!$B$14,0)</f>
        <v>0</v>
      </c>
      <c r="I154" s="19" t="n">
        <f aca="false">I153+H154</f>
        <v>86400</v>
      </c>
      <c r="J154" s="19" t="n">
        <f aca="false">J153*(1+Předpoklady!$B$12)*(1-Předpoklady!$B$9/12)+H154</f>
        <v>129844.091877396</v>
      </c>
      <c r="K154" s="19" t="n">
        <f aca="false">K153+D154*E154/12</f>
        <v>27299.8571607199</v>
      </c>
      <c r="L154" s="19" t="n">
        <f aca="false">L153+((G153+C154)+J153)*(1+Předpoklady!$B$12)*Předpoklady!$B$9/12</f>
        <v>17897.2724815884</v>
      </c>
      <c r="M154" s="19" t="n">
        <f aca="false">(O153+C154)*(1+Předpoklady!$B$12)</f>
        <v>931666.257166694</v>
      </c>
      <c r="N154" s="13" t="n">
        <f aca="false">INDEX(Předpoklady!$D$18:$D$21,MATCH(M154,Předpoklady!$A$18:$A$21,1))</f>
        <v>0.0056</v>
      </c>
      <c r="O154" s="19" t="n">
        <f aca="false">M154*(1-N154/12)</f>
        <v>931231.479580017</v>
      </c>
      <c r="P154" s="19" t="n">
        <f aca="false">P153+M154*N154/12</f>
        <v>31710.6397900097</v>
      </c>
    </row>
    <row r="155" customFormat="false" ht="15" hidden="false" customHeight="false" outlineLevel="0" collapsed="false">
      <c r="A155" s="18" t="n">
        <v>154</v>
      </c>
      <c r="B155" s="18" t="n">
        <f aca="false">ROUNDUP(A155/12,0)</f>
        <v>13</v>
      </c>
      <c r="C155" s="17" t="n">
        <f aca="false">Předpoklady!$B$4</f>
        <v>4000</v>
      </c>
      <c r="D155" s="19" t="n">
        <f aca="false">(F154+C155)*(1+Předpoklady!$B$12)</f>
        <v>946551.799684406</v>
      </c>
      <c r="E155" s="13" t="n">
        <f aca="false">INDEX(Předpoklady!$C$18:$C$21,MATCH(D155,Předpoklady!$A$18:$A$21,1))</f>
        <v>0.0048</v>
      </c>
      <c r="F155" s="19" t="n">
        <f aca="false">D155*(1-E155/12)</f>
        <v>946173.178964533</v>
      </c>
      <c r="G155" s="19" t="n">
        <f aca="false">(G154+C155)*(1+Předpoklady!$B$12)*(1-Předpoklady!$B$9/12)</f>
        <v>962329.236333245</v>
      </c>
      <c r="H155" s="19" t="n">
        <f aca="false">IF(AND(A155&gt;12,MOD(A155,12)=Předpoklady!$B$8),Předpoklady!$B$14,0)</f>
        <v>0</v>
      </c>
      <c r="I155" s="19" t="n">
        <f aca="false">I154+H155</f>
        <v>86400</v>
      </c>
      <c r="J155" s="19" t="n">
        <f aca="false">J154*(1+Předpoklady!$B$12)*(1-Předpoklady!$B$9/12)+H155</f>
        <v>130545.604688254</v>
      </c>
      <c r="K155" s="19" t="n">
        <f aca="false">K154+D155*E155/12</f>
        <v>27678.4778805937</v>
      </c>
      <c r="L155" s="19" t="n">
        <f aca="false">L154+((G154+C155)+J154)*(1+Předpoklady!$B$12)*Předpoklady!$B$9/12</f>
        <v>18170.5595136018</v>
      </c>
      <c r="M155" s="19" t="n">
        <f aca="false">(O154+C155)*(1+Předpoklady!$B$12)</f>
        <v>940519.41433644</v>
      </c>
      <c r="N155" s="13" t="n">
        <f aca="false">INDEX(Předpoklady!$D$18:$D$21,MATCH(M155,Předpoklady!$A$18:$A$21,1))</f>
        <v>0.0056</v>
      </c>
      <c r="O155" s="19" t="n">
        <f aca="false">M155*(1-N155/12)</f>
        <v>940080.505276417</v>
      </c>
      <c r="P155" s="19" t="n">
        <f aca="false">P154+M155*N155/12</f>
        <v>32149.5488500334</v>
      </c>
    </row>
    <row r="156" customFormat="false" ht="15" hidden="false" customHeight="false" outlineLevel="0" collapsed="false">
      <c r="A156" s="18" t="n">
        <v>155</v>
      </c>
      <c r="B156" s="18" t="n">
        <f aca="false">ROUNDUP(A156/12,0)</f>
        <v>13</v>
      </c>
      <c r="C156" s="17" t="n">
        <f aca="false">Předpoklady!$B$4</f>
        <v>4000</v>
      </c>
      <c r="D156" s="19" t="n">
        <f aca="false">(F155+C156)*(1+Předpoklady!$B$12)</f>
        <v>955545.596261611</v>
      </c>
      <c r="E156" s="13" t="n">
        <f aca="false">INDEX(Předpoklady!$C$18:$C$21,MATCH(D156,Předpoklady!$A$18:$A$21,1))</f>
        <v>0.0048</v>
      </c>
      <c r="F156" s="19" t="n">
        <f aca="false">D156*(1-E156/12)</f>
        <v>955163.378023107</v>
      </c>
      <c r="G156" s="19" t="n">
        <f aca="false">(G155+C156)*(1+Předpoklady!$B$12)*(1-Předpoklady!$B$9/12)</f>
        <v>971550.054076992</v>
      </c>
      <c r="H156" s="19" t="n">
        <f aca="false">IF(AND(A156&gt;12,MOD(A156,12)=Předpoklady!$B$8),Předpoklady!$B$14,0)</f>
        <v>0</v>
      </c>
      <c r="I156" s="19" t="n">
        <f aca="false">I155+H156</f>
        <v>86400</v>
      </c>
      <c r="J156" s="19" t="n">
        <f aca="false">J155*(1+Předpoklady!$B$12)*(1-Předpoklady!$B$9/12)+H156</f>
        <v>131250.907584719</v>
      </c>
      <c r="K156" s="19" t="n">
        <f aca="false">K155+D156*E156/12</f>
        <v>28060.6961190983</v>
      </c>
      <c r="L156" s="19" t="n">
        <f aca="false">L155+((G155+C156)+J155)*(1+Předpoklady!$B$12)*Předpoklady!$B$9/12</f>
        <v>18446.3286963129</v>
      </c>
      <c r="M156" s="19" t="n">
        <f aca="false">(O155+C156)*(1+Předpoklady!$B$12)</f>
        <v>949418.473710665</v>
      </c>
      <c r="N156" s="13" t="n">
        <f aca="false">INDEX(Předpoklady!$D$18:$D$21,MATCH(M156,Předpoklady!$A$18:$A$21,1))</f>
        <v>0.0056</v>
      </c>
      <c r="O156" s="19" t="n">
        <f aca="false">M156*(1-N156/12)</f>
        <v>948975.411756266</v>
      </c>
      <c r="P156" s="19" t="n">
        <f aca="false">P155+M156*N156/12</f>
        <v>32592.6108044317</v>
      </c>
    </row>
    <row r="157" customFormat="false" ht="15" hidden="false" customHeight="false" outlineLevel="0" collapsed="false">
      <c r="A157" s="18" t="n">
        <v>156</v>
      </c>
      <c r="B157" s="18" t="n">
        <f aca="false">ROUNDUP(A157/12,0)</f>
        <v>13</v>
      </c>
      <c r="C157" s="17" t="n">
        <f aca="false">Předpoklady!$B$4</f>
        <v>4000</v>
      </c>
      <c r="D157" s="19" t="n">
        <f aca="false">(F156+C157)*(1+Předpoklady!$B$12)</f>
        <v>964586.627212724</v>
      </c>
      <c r="E157" s="13" t="n">
        <f aca="false">INDEX(Předpoklady!$C$18:$C$21,MATCH(D157,Předpoklady!$A$18:$A$21,1))</f>
        <v>0.0048</v>
      </c>
      <c r="F157" s="19" t="n">
        <f aca="false">D157*(1-E157/12)</f>
        <v>964200.792561839</v>
      </c>
      <c r="G157" s="19" t="n">
        <f aca="false">(G156+C157)*(1+Předpoklady!$B$12)*(1-Předpoklady!$B$9/12)</f>
        <v>980820.689426455</v>
      </c>
      <c r="H157" s="19" t="n">
        <f aca="false">IF(AND(A157&gt;12,MOD(A157,12)=Předpoklady!$B$8),Předpoklady!$B$14,0)</f>
        <v>0</v>
      </c>
      <c r="I157" s="19" t="n">
        <f aca="false">I156+H157</f>
        <v>86400</v>
      </c>
      <c r="J157" s="19" t="n">
        <f aca="false">J156*(1+Předpoklady!$B$12)*(1-Předpoklady!$B$9/12)+H157</f>
        <v>131960.021043607</v>
      </c>
      <c r="K157" s="19" t="n">
        <f aca="false">K156+D157*E157/12</f>
        <v>28446.5307699834</v>
      </c>
      <c r="L157" s="19" t="n">
        <f aca="false">L156+((G156+C157)+J156)*(1+Předpoklady!$B$12)*Předpoklady!$B$9/12</f>
        <v>18724.5934401164</v>
      </c>
      <c r="M157" s="19" t="n">
        <f aca="false">(O156+C157)*(1+Předpoklady!$B$12)</f>
        <v>958363.673284959</v>
      </c>
      <c r="N157" s="13" t="n">
        <f aca="false">INDEX(Předpoklady!$D$18:$D$21,MATCH(M157,Předpoklady!$A$18:$A$21,1))</f>
        <v>0.0056</v>
      </c>
      <c r="O157" s="19" t="n">
        <f aca="false">M157*(1-N157/12)</f>
        <v>957916.436904092</v>
      </c>
      <c r="P157" s="19" t="n">
        <f aca="false">P156+M157*N157/12</f>
        <v>33039.847185298</v>
      </c>
    </row>
    <row r="158" customFormat="false" ht="15" hidden="false" customHeight="false" outlineLevel="0" collapsed="false">
      <c r="A158" s="18" t="n">
        <v>157</v>
      </c>
      <c r="B158" s="18" t="n">
        <f aca="false">ROUNDUP(A158/12,0)</f>
        <v>14</v>
      </c>
      <c r="C158" s="17" t="n">
        <f aca="false">Předpoklady!$B$4</f>
        <v>4000</v>
      </c>
      <c r="D158" s="19" t="n">
        <f aca="false">(F157+C158)*(1+Předpoklady!$B$12)</f>
        <v>973675.140607185</v>
      </c>
      <c r="E158" s="13" t="n">
        <f aca="false">INDEX(Předpoklady!$C$18:$C$21,MATCH(D158,Předpoklady!$A$18:$A$21,1))</f>
        <v>0.0048</v>
      </c>
      <c r="F158" s="19" t="n">
        <f aca="false">D158*(1-E158/12)</f>
        <v>973285.670550942</v>
      </c>
      <c r="G158" s="19" t="n">
        <f aca="false">(G157+C158)*(1+Předpoklady!$B$12)*(1-Předpoklady!$B$9/12)</f>
        <v>990141.411532801</v>
      </c>
      <c r="H158" s="19" t="n">
        <f aca="false">IF(AND(A158&gt;12,MOD(A158,12)=Předpoklady!$B$8),Předpoklady!$B$14,0)</f>
        <v>0</v>
      </c>
      <c r="I158" s="19" t="n">
        <f aca="false">I157+H158</f>
        <v>86400</v>
      </c>
      <c r="J158" s="19" t="n">
        <f aca="false">J157*(1+Předpoklady!$B$12)*(1-Předpoklady!$B$9/12)+H158</f>
        <v>132672.965652366</v>
      </c>
      <c r="K158" s="19" t="n">
        <f aca="false">K157+D158*E158/12</f>
        <v>28836.0008262263</v>
      </c>
      <c r="L158" s="19" t="n">
        <f aca="false">L157+((G157+C158)+J157)*(1+Předpoklady!$B$12)*Předpoklady!$B$9/12</f>
        <v>19005.3672278596</v>
      </c>
      <c r="M158" s="19" t="n">
        <f aca="false">(O157+C158)*(1+Předpoklady!$B$12)</f>
        <v>967355.252288883</v>
      </c>
      <c r="N158" s="13" t="n">
        <f aca="false">INDEX(Předpoklady!$D$18:$D$21,MATCH(M158,Předpoklady!$A$18:$A$21,1))</f>
        <v>0.0056</v>
      </c>
      <c r="O158" s="19" t="n">
        <f aca="false">M158*(1-N158/12)</f>
        <v>966903.819837815</v>
      </c>
      <c r="P158" s="19" t="n">
        <f aca="false">P157+M158*N158/12</f>
        <v>33491.2796363662</v>
      </c>
    </row>
    <row r="159" customFormat="false" ht="15" hidden="false" customHeight="false" outlineLevel="0" collapsed="false">
      <c r="A159" s="18" t="n">
        <v>158</v>
      </c>
      <c r="B159" s="18" t="n">
        <f aca="false">ROUNDUP(A159/12,0)</f>
        <v>14</v>
      </c>
      <c r="C159" s="17" t="n">
        <f aca="false">Předpoklady!$B$4</f>
        <v>4000</v>
      </c>
      <c r="D159" s="19" t="n">
        <f aca="false">(F158+C159)*(1+Předpoklady!$B$12)</f>
        <v>982811.385817265</v>
      </c>
      <c r="E159" s="13" t="n">
        <f aca="false">INDEX(Předpoklady!$C$18:$C$21,MATCH(D159,Předpoklady!$A$18:$A$21,1))</f>
        <v>0.0048</v>
      </c>
      <c r="F159" s="19" t="n">
        <f aca="false">D159*(1-E159/12)</f>
        <v>982418.261262938</v>
      </c>
      <c r="G159" s="19" t="n">
        <f aca="false">(G158+C159)*(1+Předpoklady!$B$12)*(1-Předpoklady!$B$9/12)</f>
        <v>999512.491001346</v>
      </c>
      <c r="H159" s="19" t="n">
        <f aca="false">IF(AND(A159&gt;12,MOD(A159,12)=Předpoklady!$B$8),Předpoklady!$B$14,0)</f>
        <v>0</v>
      </c>
      <c r="I159" s="19" t="n">
        <f aca="false">I158+H159</f>
        <v>86400</v>
      </c>
      <c r="J159" s="19" t="n">
        <f aca="false">J158*(1+Předpoklady!$B$12)*(1-Předpoklady!$B$9/12)+H159</f>
        <v>133389.762109671</v>
      </c>
      <c r="K159" s="19" t="n">
        <f aca="false">K158+D159*E159/12</f>
        <v>29229.1253805532</v>
      </c>
      <c r="L159" s="19" t="n">
        <f aca="false">L158+((G158+C159)+J158)*(1+Předpoklady!$B$12)*Předpoklady!$B$9/12</f>
        <v>19288.6636152342</v>
      </c>
      <c r="M159" s="19" t="n">
        <f aca="false">(O158+C159)*(1+Předpoklady!$B$12)</f>
        <v>976393.451192365</v>
      </c>
      <c r="N159" s="13" t="n">
        <f aca="false">INDEX(Předpoklady!$D$18:$D$21,MATCH(M159,Předpoklady!$A$18:$A$21,1))</f>
        <v>0.0056</v>
      </c>
      <c r="O159" s="19" t="n">
        <f aca="false">M159*(1-N159/12)</f>
        <v>975937.800915142</v>
      </c>
      <c r="P159" s="19" t="n">
        <f aca="false">P158+M159*N159/12</f>
        <v>33946.9299135893</v>
      </c>
    </row>
    <row r="160" customFormat="false" ht="15" hidden="false" customHeight="false" outlineLevel="0" collapsed="false">
      <c r="A160" s="18" t="n">
        <v>159</v>
      </c>
      <c r="B160" s="18" t="n">
        <f aca="false">ROUNDUP(A160/12,0)</f>
        <v>14</v>
      </c>
      <c r="C160" s="17" t="n">
        <f aca="false">Předpoklady!$B$4</f>
        <v>4000</v>
      </c>
      <c r="D160" s="19" t="n">
        <f aca="false">(F159+C160)*(1+Předpoklady!$B$12)</f>
        <v>991995.61352491</v>
      </c>
      <c r="E160" s="13" t="n">
        <f aca="false">INDEX(Předpoklady!$C$18:$C$21,MATCH(D160,Předpoklady!$A$18:$A$21,1))</f>
        <v>0.0048</v>
      </c>
      <c r="F160" s="19" t="n">
        <f aca="false">D160*(1-E160/12)</f>
        <v>991598.8152795</v>
      </c>
      <c r="G160" s="19" t="n">
        <f aca="false">(G159+C160)*(1+Předpoklady!$B$12)*(1-Předpoklady!$B$9/12)</f>
        <v>1008934.19989941</v>
      </c>
      <c r="H160" s="19" t="n">
        <f aca="false">IF(AND(A160&gt;12,MOD(A160,12)=Předpoklady!$B$8),Předpoklady!$B$14,0)</f>
        <v>0</v>
      </c>
      <c r="I160" s="19" t="n">
        <f aca="false">I159+H160</f>
        <v>86400</v>
      </c>
      <c r="J160" s="19" t="n">
        <f aca="false">J159*(1+Předpoklady!$B$12)*(1-Předpoklady!$B$9/12)+H160</f>
        <v>134110.431226026</v>
      </c>
      <c r="K160" s="19" t="n">
        <f aca="false">K159+D160*E160/12</f>
        <v>29625.9236259632</v>
      </c>
      <c r="L160" s="19" t="n">
        <f aca="false">L159+((G159+C160)+J159)*(1+Předpoklady!$B$12)*Předpoklady!$B$9/12</f>
        <v>19574.4962311696</v>
      </c>
      <c r="M160" s="19" t="n">
        <f aca="false">(O159+C160)*(1+Předpoklady!$B$12)</f>
        <v>985478.51171213</v>
      </c>
      <c r="N160" s="13" t="n">
        <f aca="false">INDEX(Předpoklady!$D$18:$D$21,MATCH(M160,Předpoklady!$A$18:$A$21,1))</f>
        <v>0.0056</v>
      </c>
      <c r="O160" s="19" t="n">
        <f aca="false">M160*(1-N160/12)</f>
        <v>985018.621739998</v>
      </c>
      <c r="P160" s="19" t="n">
        <f aca="false">P159+M160*N160/12</f>
        <v>34406.8198857216</v>
      </c>
    </row>
    <row r="161" customFormat="false" ht="15" hidden="false" customHeight="false" outlineLevel="0" collapsed="false">
      <c r="A161" s="18" t="n">
        <v>160</v>
      </c>
      <c r="B161" s="18" t="n">
        <f aca="false">ROUNDUP(A161/12,0)</f>
        <v>14</v>
      </c>
      <c r="C161" s="17" t="n">
        <f aca="false">Předpoklady!$B$4</f>
        <v>4000</v>
      </c>
      <c r="D161" s="19" t="n">
        <f aca="false">(F160+C161)*(1+Předpoklady!$B$12)</f>
        <v>1001228.07572862</v>
      </c>
      <c r="E161" s="13" t="n">
        <f aca="false">INDEX(Předpoklady!$C$18:$C$21,MATCH(D161,Předpoklady!$A$18:$A$21,1))</f>
        <v>0.0036</v>
      </c>
      <c r="F161" s="19" t="n">
        <f aca="false">D161*(1-E161/12)</f>
        <v>1000927.7073059</v>
      </c>
      <c r="G161" s="19" t="n">
        <f aca="false">(G160+C161)*(1+Předpoklady!$B$12)*(1-Předpoklady!$B$9/12)</f>
        <v>1018406.81176424</v>
      </c>
      <c r="H161" s="19" t="n">
        <f aca="false">IF(AND(A161&gt;12,MOD(A161,12)=Předpoklady!$B$8),Předpoklady!$B$14,0)</f>
        <v>7200</v>
      </c>
      <c r="I161" s="19" t="n">
        <f aca="false">I160+H161</f>
        <v>93600</v>
      </c>
      <c r="J161" s="19" t="n">
        <f aca="false">J160*(1+Předpoklady!$B$12)*(1-Předpoklady!$B$9/12)+H161</f>
        <v>142034.99392437</v>
      </c>
      <c r="K161" s="19" t="n">
        <f aca="false">K160+D161*E161/12</f>
        <v>29926.2920486818</v>
      </c>
      <c r="L161" s="19" t="n">
        <f aca="false">L160+((G160+C161)+J160)*(1+Předpoklady!$B$12)*Předpoklady!$B$9/12</f>
        <v>19862.8787782285</v>
      </c>
      <c r="M161" s="19" t="n">
        <f aca="false">(O160+C161)*(1+Předpoklady!$B$12)</f>
        <v>994610.676818167</v>
      </c>
      <c r="N161" s="13" t="n">
        <f aca="false">INDEX(Předpoklady!$D$18:$D$21,MATCH(M161,Předpoklady!$A$18:$A$21,1))</f>
        <v>0.0056</v>
      </c>
      <c r="O161" s="19" t="n">
        <f aca="false">M161*(1-N161/12)</f>
        <v>994146.525168985</v>
      </c>
      <c r="P161" s="19" t="n">
        <f aca="false">P160+M161*N161/12</f>
        <v>34870.9715349034</v>
      </c>
    </row>
    <row r="162" customFormat="false" ht="15" hidden="false" customHeight="false" outlineLevel="0" collapsed="false">
      <c r="A162" s="18" t="n">
        <v>161</v>
      </c>
      <c r="B162" s="18" t="n">
        <f aca="false">ROUNDUP(A162/12,0)</f>
        <v>14</v>
      </c>
      <c r="C162" s="17" t="n">
        <f aca="false">Předpoklady!$B$4</f>
        <v>4000</v>
      </c>
      <c r="D162" s="19" t="n">
        <f aca="false">(F161+C162)*(1+Předpoklady!$B$12)</f>
        <v>1010609.71466684</v>
      </c>
      <c r="E162" s="13" t="n">
        <f aca="false">INDEX(Předpoklady!$C$18:$C$21,MATCH(D162,Předpoklady!$A$18:$A$21,1))</f>
        <v>0.0036</v>
      </c>
      <c r="F162" s="19" t="n">
        <f aca="false">D162*(1-E162/12)</f>
        <v>1010306.53175244</v>
      </c>
      <c r="G162" s="19" t="n">
        <f aca="false">(G161+C162)*(1+Předpoklady!$B$12)*(1-Předpoklady!$B$9/12)</f>
        <v>1027930.60161089</v>
      </c>
      <c r="H162" s="19" t="n">
        <f aca="false">IF(AND(A162&gt;12,MOD(A162,12)=Předpoklady!$B$8),Předpoklady!$B$14,0)</f>
        <v>0</v>
      </c>
      <c r="I162" s="19" t="n">
        <f aca="false">I161+H162</f>
        <v>93600</v>
      </c>
      <c r="J162" s="19" t="n">
        <f aca="false">J161*(1+Předpoklady!$B$12)*(1-Předpoklady!$B$9/12)+H162</f>
        <v>142802.37091001</v>
      </c>
      <c r="K162" s="19" t="n">
        <f aca="false">K161+D162*E162/12</f>
        <v>30229.4749630818</v>
      </c>
      <c r="L162" s="19" t="n">
        <f aca="false">L161+((G161+C162)+J161)*(1+Předpoklady!$B$12)*Předpoklady!$B$9/12</f>
        <v>20155.6352104668</v>
      </c>
      <c r="M162" s="19" t="n">
        <f aca="false">(O161+C162)*(1+Předpoklady!$B$12)</f>
        <v>1003790.19074022</v>
      </c>
      <c r="N162" s="13" t="n">
        <f aca="false">INDEX(Předpoklady!$D$18:$D$21,MATCH(M162,Předpoklady!$A$18:$A$21,1))</f>
        <v>0.0042</v>
      </c>
      <c r="O162" s="19" t="n">
        <f aca="false">M162*(1-N162/12)</f>
        <v>1003438.86417347</v>
      </c>
      <c r="P162" s="19" t="n">
        <f aca="false">P161+M162*N162/12</f>
        <v>35222.2981016625</v>
      </c>
    </row>
    <row r="163" customFormat="false" ht="15" hidden="false" customHeight="false" outlineLevel="0" collapsed="false">
      <c r="A163" s="18" t="n">
        <v>162</v>
      </c>
      <c r="B163" s="18" t="n">
        <f aca="false">ROUNDUP(A163/12,0)</f>
        <v>14</v>
      </c>
      <c r="C163" s="17" t="n">
        <f aca="false">Předpoklady!$B$4</f>
        <v>4000</v>
      </c>
      <c r="D163" s="19" t="n">
        <f aca="false">(F162+C163)*(1+Předpoklady!$B$12)</f>
        <v>1020041.56835036</v>
      </c>
      <c r="E163" s="13" t="n">
        <f aca="false">INDEX(Předpoklady!$C$18:$C$21,MATCH(D163,Předpoklady!$A$18:$A$21,1))</f>
        <v>0.0036</v>
      </c>
      <c r="F163" s="19" t="n">
        <f aca="false">D163*(1-E163/12)</f>
        <v>1019735.55587986</v>
      </c>
      <c r="G163" s="19" t="n">
        <f aca="false">(G162+C163)*(1+Předpoklady!$B$12)*(1-Předpoklady!$B$9/12)</f>
        <v>1037505.8459403</v>
      </c>
      <c r="H163" s="19" t="n">
        <f aca="false">IF(AND(A163&gt;12,MOD(A163,12)=Předpoklady!$B$8),Předpoklady!$B$14,0)</f>
        <v>0</v>
      </c>
      <c r="I163" s="19" t="n">
        <f aca="false">I162+H163</f>
        <v>93600</v>
      </c>
      <c r="J163" s="19" t="n">
        <f aca="false">J162*(1+Předpoklady!$B$12)*(1-Předpoklady!$B$9/12)+H163</f>
        <v>143573.893827732</v>
      </c>
      <c r="K163" s="19" t="n">
        <f aca="false">K162+D163*E163/12</f>
        <v>30535.4874335869</v>
      </c>
      <c r="L163" s="19" t="n">
        <f aca="false">L162+((G162+C163)+J162)*(1+Předpoklady!$B$12)*Předpoklady!$B$9/12</f>
        <v>20450.9789813515</v>
      </c>
      <c r="M163" s="19" t="n">
        <f aca="false">(O162+C163)*(1+Předpoklady!$B$12)</f>
        <v>1013135.06998042</v>
      </c>
      <c r="N163" s="13" t="n">
        <f aca="false">INDEX(Předpoklady!$D$18:$D$21,MATCH(M163,Předpoklady!$A$18:$A$21,1))</f>
        <v>0.0042</v>
      </c>
      <c r="O163" s="19" t="n">
        <f aca="false">M163*(1-N163/12)</f>
        <v>1012780.47270593</v>
      </c>
      <c r="P163" s="19" t="n">
        <f aca="false">P162+M163*N163/12</f>
        <v>35576.8953761556</v>
      </c>
    </row>
    <row r="164" customFormat="false" ht="15" hidden="false" customHeight="false" outlineLevel="0" collapsed="false">
      <c r="A164" s="18" t="n">
        <v>163</v>
      </c>
      <c r="B164" s="18" t="n">
        <f aca="false">ROUNDUP(A164/12,0)</f>
        <v>14</v>
      </c>
      <c r="C164" s="17" t="n">
        <f aca="false">Předpoklady!$B$4</f>
        <v>4000</v>
      </c>
      <c r="D164" s="19" t="n">
        <f aca="false">(F163+C164)*(1+Předpoklady!$B$12)</f>
        <v>1029523.90555106</v>
      </c>
      <c r="E164" s="13" t="n">
        <f aca="false">INDEX(Předpoklady!$C$18:$C$21,MATCH(D164,Předpoklady!$A$18:$A$21,1))</f>
        <v>0.0036</v>
      </c>
      <c r="F164" s="19" t="n">
        <f aca="false">D164*(1-E164/12)</f>
        <v>1029215.04837939</v>
      </c>
      <c r="G164" s="19" t="n">
        <f aca="false">(G163+C164)*(1+Předpoklady!$B$12)*(1-Předpoklady!$B$9/12)</f>
        <v>1047132.82274722</v>
      </c>
      <c r="H164" s="19" t="n">
        <f aca="false">IF(AND(A164&gt;12,MOD(A164,12)=Předpoklady!$B$8),Předpoklady!$B$14,0)</f>
        <v>0</v>
      </c>
      <c r="I164" s="19" t="n">
        <f aca="false">I163+H164</f>
        <v>93600</v>
      </c>
      <c r="J164" s="19" t="n">
        <f aca="false">J163*(1+Předpoklady!$B$12)*(1-Předpoklady!$B$9/12)+H164</f>
        <v>144349.585076895</v>
      </c>
      <c r="K164" s="19" t="n">
        <f aca="false">K163+D164*E164/12</f>
        <v>30844.3446052522</v>
      </c>
      <c r="L164" s="19" t="n">
        <f aca="false">L163+((G163+C164)+J163)*(1+Předpoklady!$B$12)*Předpoklady!$B$9/12</f>
        <v>20748.9240695796</v>
      </c>
      <c r="M164" s="19" t="n">
        <f aca="false">(O163+C164)*(1+Předpoklady!$B$12)</f>
        <v>1022529.49732569</v>
      </c>
      <c r="N164" s="13" t="n">
        <f aca="false">INDEX(Předpoklady!$D$18:$D$21,MATCH(M164,Předpoklady!$A$18:$A$21,1))</f>
        <v>0.0042</v>
      </c>
      <c r="O164" s="19" t="n">
        <f aca="false">M164*(1-N164/12)</f>
        <v>1022171.61200162</v>
      </c>
      <c r="P164" s="19" t="n">
        <f aca="false">P163+M164*N164/12</f>
        <v>35934.7807002196</v>
      </c>
    </row>
    <row r="165" customFormat="false" ht="15" hidden="false" customHeight="false" outlineLevel="0" collapsed="false">
      <c r="A165" s="18" t="n">
        <v>164</v>
      </c>
      <c r="B165" s="18" t="n">
        <f aca="false">ROUNDUP(A165/12,0)</f>
        <v>14</v>
      </c>
      <c r="C165" s="17" t="n">
        <f aca="false">Předpoklady!$B$4</f>
        <v>4000</v>
      </c>
      <c r="D165" s="19" t="n">
        <f aca="false">(F164+C165)*(1+Předpoklady!$B$12)</f>
        <v>1039056.99647939</v>
      </c>
      <c r="E165" s="13" t="n">
        <f aca="false">INDEX(Předpoklady!$C$18:$C$21,MATCH(D165,Předpoklady!$A$18:$A$21,1))</f>
        <v>0.0036</v>
      </c>
      <c r="F165" s="19" t="n">
        <f aca="false">D165*(1-E165/12)</f>
        <v>1038745.27938044</v>
      </c>
      <c r="G165" s="19" t="n">
        <f aca="false">(G164+C165)*(1+Předpoklady!$B$12)*(1-Předpoklady!$B$9/12)</f>
        <v>1056811.81152837</v>
      </c>
      <c r="H165" s="19" t="n">
        <f aca="false">IF(AND(A165&gt;12,MOD(A165,12)=Předpoklady!$B$8),Předpoklady!$B$14,0)</f>
        <v>0</v>
      </c>
      <c r="I165" s="19" t="n">
        <f aca="false">I164+H165</f>
        <v>93600</v>
      </c>
      <c r="J165" s="19" t="n">
        <f aca="false">J164*(1+Předpoklady!$B$12)*(1-Předpoklady!$B$9/12)+H165</f>
        <v>145129.467177877</v>
      </c>
      <c r="K165" s="19" t="n">
        <f aca="false">K164+D165*E165/12</f>
        <v>31156.0617041961</v>
      </c>
      <c r="L165" s="19" t="n">
        <f aca="false">L164+((G164+C165)+J164)*(1+Předpoklady!$B$12)*Předpoklady!$B$9/12</f>
        <v>21049.4845293711</v>
      </c>
      <c r="M165" s="19" t="n">
        <f aca="false">(O164+C165)*(1+Předpoklady!$B$12)</f>
        <v>1031973.73548831</v>
      </c>
      <c r="N165" s="13" t="n">
        <f aca="false">INDEX(Předpoklady!$D$18:$D$21,MATCH(M165,Předpoklady!$A$18:$A$21,1))</f>
        <v>0.0042</v>
      </c>
      <c r="O165" s="19" t="n">
        <f aca="false">M165*(1-N165/12)</f>
        <v>1031612.54468089</v>
      </c>
      <c r="P165" s="19" t="n">
        <f aca="false">P164+M165*N165/12</f>
        <v>36295.9715076405</v>
      </c>
    </row>
    <row r="166" customFormat="false" ht="15" hidden="false" customHeight="false" outlineLevel="0" collapsed="false">
      <c r="A166" s="18" t="n">
        <v>165</v>
      </c>
      <c r="B166" s="18" t="n">
        <f aca="false">ROUNDUP(A166/12,0)</f>
        <v>14</v>
      </c>
      <c r="C166" s="17" t="n">
        <f aca="false">Předpoklady!$B$4</f>
        <v>4000</v>
      </c>
      <c r="D166" s="19" t="n">
        <f aca="false">(F165+C166)*(1+Předpoklady!$B$12)</f>
        <v>1048641.11279209</v>
      </c>
      <c r="E166" s="13" t="n">
        <f aca="false">INDEX(Předpoklady!$C$18:$C$21,MATCH(D166,Předpoklady!$A$18:$A$21,1))</f>
        <v>0.0036</v>
      </c>
      <c r="F166" s="19" t="n">
        <f aca="false">D166*(1-E166/12)</f>
        <v>1048326.52045825</v>
      </c>
      <c r="G166" s="19" t="n">
        <f aca="false">(G165+C166)*(1+Předpoklady!$B$12)*(1-Předpoklady!$B$9/12)</f>
        <v>1066543.0932905</v>
      </c>
      <c r="H166" s="19" t="n">
        <f aca="false">IF(AND(A166&gt;12,MOD(A166,12)=Předpoklady!$B$8),Předpoklady!$B$14,0)</f>
        <v>0</v>
      </c>
      <c r="I166" s="19" t="n">
        <f aca="false">I165+H166</f>
        <v>93600</v>
      </c>
      <c r="J166" s="19" t="n">
        <f aca="false">J165*(1+Předpoklady!$B$12)*(1-Předpoklady!$B$9/12)+H166</f>
        <v>145913.562772727</v>
      </c>
      <c r="K166" s="19" t="n">
        <f aca="false">K165+D166*E166/12</f>
        <v>31470.6540380337</v>
      </c>
      <c r="L166" s="19" t="n">
        <f aca="false">L165+((G165+C166)+J165)*(1+Předpoklady!$B$12)*Předpoklady!$B$9/12</f>
        <v>21352.6744908773</v>
      </c>
      <c r="M166" s="19" t="n">
        <f aca="false">(O165+C166)*(1+Předpoklady!$B$12)</f>
        <v>1041468.04857353</v>
      </c>
      <c r="N166" s="13" t="n">
        <f aca="false">INDEX(Předpoklady!$D$18:$D$21,MATCH(M166,Předpoklady!$A$18:$A$21,1))</f>
        <v>0.0042</v>
      </c>
      <c r="O166" s="19" t="n">
        <f aca="false">M166*(1-N166/12)</f>
        <v>1041103.53475653</v>
      </c>
      <c r="P166" s="19" t="n">
        <f aca="false">P165+M166*N166/12</f>
        <v>36660.4853246413</v>
      </c>
    </row>
    <row r="167" customFormat="false" ht="15" hidden="false" customHeight="false" outlineLevel="0" collapsed="false">
      <c r="A167" s="18" t="n">
        <v>166</v>
      </c>
      <c r="B167" s="18" t="n">
        <f aca="false">ROUNDUP(A167/12,0)</f>
        <v>14</v>
      </c>
      <c r="C167" s="17" t="n">
        <f aca="false">Předpoklady!$B$4</f>
        <v>4000</v>
      </c>
      <c r="D167" s="19" t="n">
        <f aca="false">(F166+C167)*(1+Předpoklady!$B$12)</f>
        <v>1058276.52759994</v>
      </c>
      <c r="E167" s="13" t="n">
        <f aca="false">INDEX(Předpoklady!$C$18:$C$21,MATCH(D167,Předpoklady!$A$18:$A$21,1))</f>
        <v>0.0036</v>
      </c>
      <c r="F167" s="19" t="n">
        <f aca="false">D167*(1-E167/12)</f>
        <v>1057959.04464166</v>
      </c>
      <c r="G167" s="19" t="n">
        <f aca="false">(G166+C167)*(1+Předpoklady!$B$12)*(1-Předpoklady!$B$9/12)</f>
        <v>1076326.95055855</v>
      </c>
      <c r="H167" s="19" t="n">
        <f aca="false">IF(AND(A167&gt;12,MOD(A167,12)=Předpoklady!$B$8),Předpoklady!$B$14,0)</f>
        <v>0</v>
      </c>
      <c r="I167" s="19" t="n">
        <f aca="false">I166+H167</f>
        <v>93600</v>
      </c>
      <c r="J167" s="19" t="n">
        <f aca="false">J166*(1+Předpoklady!$B$12)*(1-Předpoklady!$B$9/12)+H167</f>
        <v>146701.89462582</v>
      </c>
      <c r="K167" s="19" t="n">
        <f aca="false">K166+D167*E167/12</f>
        <v>31788.1369963137</v>
      </c>
      <c r="L167" s="19" t="n">
        <f aca="false">L166+((G166+C167)+J166)*(1+Předpoklady!$B$12)*Předpoklady!$B$9/12</f>
        <v>21658.5081605908</v>
      </c>
      <c r="M167" s="19" t="n">
        <f aca="false">(O166+C167)*(1+Předpoklady!$B$12)</f>
        <v>1051012.70208694</v>
      </c>
      <c r="N167" s="13" t="n">
        <f aca="false">INDEX(Předpoklady!$D$18:$D$21,MATCH(M167,Předpoklady!$A$18:$A$21,1))</f>
        <v>0.0042</v>
      </c>
      <c r="O167" s="19" t="n">
        <f aca="false">M167*(1-N167/12)</f>
        <v>1050644.84764121</v>
      </c>
      <c r="P167" s="19" t="n">
        <f aca="false">P166+M167*N167/12</f>
        <v>37028.3397703717</v>
      </c>
    </row>
    <row r="168" customFormat="false" ht="15" hidden="false" customHeight="false" outlineLevel="0" collapsed="false">
      <c r="A168" s="18" t="n">
        <v>167</v>
      </c>
      <c r="B168" s="18" t="n">
        <f aca="false">ROUNDUP(A168/12,0)</f>
        <v>14</v>
      </c>
      <c r="C168" s="17" t="n">
        <f aca="false">Předpoklady!$B$4</f>
        <v>4000</v>
      </c>
      <c r="D168" s="19" t="n">
        <f aca="false">(F167+C168)*(1+Předpoklady!$B$12)</f>
        <v>1067963.51547554</v>
      </c>
      <c r="E168" s="13" t="n">
        <f aca="false">INDEX(Předpoklady!$C$18:$C$21,MATCH(D168,Předpoklady!$A$18:$A$21,1))</f>
        <v>0.0036</v>
      </c>
      <c r="F168" s="19" t="n">
        <f aca="false">D168*(1-E168/12)</f>
        <v>1067643.1264209</v>
      </c>
      <c r="G168" s="19" t="n">
        <f aca="false">(G167+C168)*(1+Předpoklady!$B$12)*(1-Předpoklady!$B$9/12)</f>
        <v>1086163.66738389</v>
      </c>
      <c r="H168" s="19" t="n">
        <f aca="false">IF(AND(A168&gt;12,MOD(A168,12)=Předpoklady!$B$8),Předpoklady!$B$14,0)</f>
        <v>0</v>
      </c>
      <c r="I168" s="19" t="n">
        <f aca="false">I167+H168</f>
        <v>93600</v>
      </c>
      <c r="J168" s="19" t="n">
        <f aca="false">J167*(1+Předpoklady!$B$12)*(1-Předpoklady!$B$9/12)+H168</f>
        <v>147494.485624526</v>
      </c>
      <c r="K168" s="19" t="n">
        <f aca="false">K167+D168*E168/12</f>
        <v>32108.5260509563</v>
      </c>
      <c r="L168" s="19" t="n">
        <f aca="false">L167+((G167+C168)+J167)*(1+Předpoklady!$B$12)*Předpoklady!$B$9/12</f>
        <v>21966.9998217582</v>
      </c>
      <c r="M168" s="19" t="n">
        <f aca="false">(O167+C168)*(1+Předpoklady!$B$12)</f>
        <v>1060607.96294185</v>
      </c>
      <c r="N168" s="13" t="n">
        <f aca="false">INDEX(Předpoklady!$D$18:$D$21,MATCH(M168,Předpoklady!$A$18:$A$21,1))</f>
        <v>0.0042</v>
      </c>
      <c r="O168" s="19" t="n">
        <f aca="false">M168*(1-N168/12)</f>
        <v>1060236.75015482</v>
      </c>
      <c r="P168" s="19" t="n">
        <f aca="false">P167+M168*N168/12</f>
        <v>37399.5525574013</v>
      </c>
    </row>
    <row r="169" customFormat="false" ht="15" hidden="false" customHeight="false" outlineLevel="0" collapsed="false">
      <c r="A169" s="18" t="n">
        <v>168</v>
      </c>
      <c r="B169" s="18" t="n">
        <f aca="false">ROUNDUP(A169/12,0)</f>
        <v>14</v>
      </c>
      <c r="C169" s="17" t="n">
        <f aca="false">Předpoklady!$B$4</f>
        <v>4000</v>
      </c>
      <c r="D169" s="19" t="n">
        <f aca="false">(F168+C169)*(1+Předpoklady!$B$12)</f>
        <v>1077702.35246109</v>
      </c>
      <c r="E169" s="13" t="n">
        <f aca="false">INDEX(Předpoklady!$C$18:$C$21,MATCH(D169,Předpoklady!$A$18:$A$21,1))</f>
        <v>0.0036</v>
      </c>
      <c r="F169" s="19" t="n">
        <f aca="false">D169*(1-E169/12)</f>
        <v>1077379.04175536</v>
      </c>
      <c r="G169" s="19" t="n">
        <f aca="false">(G168+C169)*(1+Předpoklady!$B$12)*(1-Předpoklady!$B$9/12)</f>
        <v>1096053.52935253</v>
      </c>
      <c r="H169" s="19" t="n">
        <f aca="false">IF(AND(A169&gt;12,MOD(A169,12)=Předpoklady!$B$8),Předpoklady!$B$14,0)</f>
        <v>0</v>
      </c>
      <c r="I169" s="19" t="n">
        <f aca="false">I168+H169</f>
        <v>93600</v>
      </c>
      <c r="J169" s="19" t="n">
        <f aca="false">J168*(1+Předpoklady!$B$12)*(1-Předpoklady!$B$9/12)+H169</f>
        <v>148291.358779865</v>
      </c>
      <c r="K169" s="19" t="n">
        <f aca="false">K168+D169*E169/12</f>
        <v>32431.8367566947</v>
      </c>
      <c r="L169" s="19" t="n">
        <f aca="false">L168+((G168+C169)+J168)*(1+Předpoklady!$B$12)*Předpoklady!$B$9/12</f>
        <v>22278.1638347945</v>
      </c>
      <c r="M169" s="19" t="n">
        <f aca="false">(O168+C169)*(1+Předpoklady!$B$12)</f>
        <v>1070254.09946681</v>
      </c>
      <c r="N169" s="13" t="n">
        <f aca="false">INDEX(Předpoklady!$D$18:$D$21,MATCH(M169,Předpoklady!$A$18:$A$21,1))</f>
        <v>0.0042</v>
      </c>
      <c r="O169" s="19" t="n">
        <f aca="false">M169*(1-N169/12)</f>
        <v>1069879.510532</v>
      </c>
      <c r="P169" s="19" t="n">
        <f aca="false">P168+M169*N169/12</f>
        <v>37774.1414922147</v>
      </c>
    </row>
    <row r="170" customFormat="false" ht="15" hidden="false" customHeight="false" outlineLevel="0" collapsed="false">
      <c r="A170" s="18" t="n">
        <v>169</v>
      </c>
      <c r="B170" s="18" t="n">
        <f aca="false">ROUNDUP(A170/12,0)</f>
        <v>15</v>
      </c>
      <c r="C170" s="17" t="n">
        <f aca="false">Předpoklady!$B$4</f>
        <v>4000</v>
      </c>
      <c r="D170" s="19" t="n">
        <f aca="false">(F169+C170)*(1+Předpoklady!$B$12)</f>
        <v>1087493.31607633</v>
      </c>
      <c r="E170" s="13" t="n">
        <f aca="false">INDEX(Předpoklady!$C$18:$C$21,MATCH(D170,Předpoklady!$A$18:$A$21,1))</f>
        <v>0.0036</v>
      </c>
      <c r="F170" s="19" t="n">
        <f aca="false">D170*(1-E170/12)</f>
        <v>1087167.06808151</v>
      </c>
      <c r="G170" s="19" t="n">
        <f aca="false">(G169+C170)*(1+Předpoklady!$B$12)*(1-Předpoklady!$B$9/12)</f>
        <v>1105996.82359343</v>
      </c>
      <c r="H170" s="19" t="n">
        <f aca="false">IF(AND(A170&gt;12,MOD(A170,12)=Předpoklady!$B$8),Předpoklady!$B$14,0)</f>
        <v>0</v>
      </c>
      <c r="I170" s="19" t="n">
        <f aca="false">I169+H170</f>
        <v>93600</v>
      </c>
      <c r="J170" s="19" t="n">
        <f aca="false">J169*(1+Předpoklady!$B$12)*(1-Předpoklady!$B$9/12)+H170</f>
        <v>149092.537227181</v>
      </c>
      <c r="K170" s="19" t="n">
        <f aca="false">K169+D170*E170/12</f>
        <v>32758.0847515176</v>
      </c>
      <c r="L170" s="19" t="n">
        <f aca="false">L169+((G169+C170)+J169)*(1+Předpoklady!$B$12)*Předpoklady!$B$9/12</f>
        <v>22592.0146377004</v>
      </c>
      <c r="M170" s="19" t="n">
        <f aca="false">(O169+C170)*(1+Předpoklady!$B$12)</f>
        <v>1079951.3814131</v>
      </c>
      <c r="N170" s="13" t="n">
        <f aca="false">INDEX(Předpoklady!$D$18:$D$21,MATCH(M170,Předpoklady!$A$18:$A$21,1))</f>
        <v>0.0042</v>
      </c>
      <c r="O170" s="19" t="n">
        <f aca="false">M170*(1-N170/12)</f>
        <v>1079573.39842961</v>
      </c>
      <c r="P170" s="19" t="n">
        <f aca="false">P169+M170*N170/12</f>
        <v>38152.1244757093</v>
      </c>
    </row>
    <row r="171" customFormat="false" ht="15" hidden="false" customHeight="false" outlineLevel="0" collapsed="false">
      <c r="A171" s="18" t="n">
        <v>170</v>
      </c>
      <c r="B171" s="18" t="n">
        <f aca="false">ROUNDUP(A171/12,0)</f>
        <v>15</v>
      </c>
      <c r="C171" s="17" t="n">
        <f aca="false">Předpoklady!$B$4</f>
        <v>4000</v>
      </c>
      <c r="D171" s="19" t="n">
        <f aca="false">(F170+C171)*(1+Předpoklady!$B$12)</f>
        <v>1097336.68532639</v>
      </c>
      <c r="E171" s="13" t="n">
        <f aca="false">INDEX(Předpoklady!$C$18:$C$21,MATCH(D171,Předpoklady!$A$18:$A$21,1))</f>
        <v>0.0036</v>
      </c>
      <c r="F171" s="19" t="n">
        <f aca="false">D171*(1-E171/12)</f>
        <v>1097007.48432079</v>
      </c>
      <c r="G171" s="19" t="n">
        <f aca="false">(G170+C171)*(1+Předpoklady!$B$12)*(1-Předpoklady!$B$9/12)</f>
        <v>1115993.83878683</v>
      </c>
      <c r="H171" s="19" t="n">
        <f aca="false">IF(AND(A171&gt;12,MOD(A171,12)=Předpoklady!$B$8),Předpoklady!$B$14,0)</f>
        <v>0</v>
      </c>
      <c r="I171" s="19" t="n">
        <f aca="false">I170+H171</f>
        <v>93600</v>
      </c>
      <c r="J171" s="19" t="n">
        <f aca="false">J170*(1+Předpoklady!$B$12)*(1-Předpoklady!$B$9/12)+H171</f>
        <v>149898.044226814</v>
      </c>
      <c r="K171" s="19" t="n">
        <f aca="false">K170+D171*E171/12</f>
        <v>33087.2857571155</v>
      </c>
      <c r="L171" s="19" t="n">
        <f aca="false">L170+((G170+C171)+J170)*(1+Předpoklady!$B$12)*Předpoklady!$B$9/12</f>
        <v>22908.566746481</v>
      </c>
      <c r="M171" s="19" t="n">
        <f aca="false">(O170+C171)*(1+Předpoklady!$B$12)</f>
        <v>1089700.07996225</v>
      </c>
      <c r="N171" s="13" t="n">
        <f aca="false">INDEX(Předpoklady!$D$18:$D$21,MATCH(M171,Předpoklady!$A$18:$A$21,1))</f>
        <v>0.0042</v>
      </c>
      <c r="O171" s="19" t="n">
        <f aca="false">M171*(1-N171/12)</f>
        <v>1089318.68493427</v>
      </c>
      <c r="P171" s="19" t="n">
        <f aca="false">P170+M171*N171/12</f>
        <v>38533.5195036961</v>
      </c>
    </row>
    <row r="172" customFormat="false" ht="15" hidden="false" customHeight="false" outlineLevel="0" collapsed="false">
      <c r="A172" s="18" t="n">
        <v>171</v>
      </c>
      <c r="B172" s="18" t="n">
        <f aca="false">ROUNDUP(A172/12,0)</f>
        <v>15</v>
      </c>
      <c r="C172" s="17" t="n">
        <f aca="false">Předpoklady!$B$4</f>
        <v>4000</v>
      </c>
      <c r="D172" s="19" t="n">
        <f aca="false">(F171+C172)*(1+Předpoklady!$B$12)</f>
        <v>1107232.74070976</v>
      </c>
      <c r="E172" s="13" t="n">
        <f aca="false">INDEX(Předpoklady!$C$18:$C$21,MATCH(D172,Předpoklady!$A$18:$A$21,1))</f>
        <v>0.0036</v>
      </c>
      <c r="F172" s="19" t="n">
        <f aca="false">D172*(1-E172/12)</f>
        <v>1106900.57088755</v>
      </c>
      <c r="G172" s="19" t="n">
        <f aca="false">(G171+C172)*(1+Předpoklady!$B$12)*(1-Předpoklady!$B$9/12)</f>
        <v>1126044.86517264</v>
      </c>
      <c r="H172" s="19" t="n">
        <f aca="false">IF(AND(A172&gt;12,MOD(A172,12)=Předpoklady!$B$8),Předpoklady!$B$14,0)</f>
        <v>0</v>
      </c>
      <c r="I172" s="19" t="n">
        <f aca="false">I171+H172</f>
        <v>93600</v>
      </c>
      <c r="J172" s="19" t="n">
        <f aca="false">J171*(1+Předpoklady!$B$12)*(1-Předpoklady!$B$9/12)+H172</f>
        <v>150707.903164769</v>
      </c>
      <c r="K172" s="19" t="n">
        <f aca="false">K171+D172*E172/12</f>
        <v>33419.4555793284</v>
      </c>
      <c r="L172" s="19" t="n">
        <f aca="false">L171+((G171+C172)+J171)*(1+Předpoklady!$B$12)*Předpoklady!$B$9/12</f>
        <v>23227.8347555677</v>
      </c>
      <c r="M172" s="19" t="n">
        <f aca="false">(O171+C172)*(1+Předpoklady!$B$12)</f>
        <v>1099500.46773365</v>
      </c>
      <c r="N172" s="13" t="n">
        <f aca="false">INDEX(Předpoklady!$D$18:$D$21,MATCH(M172,Předpoklady!$A$18:$A$21,1))</f>
        <v>0.0042</v>
      </c>
      <c r="O172" s="19" t="n">
        <f aca="false">M172*(1-N172/12)</f>
        <v>1099115.64256995</v>
      </c>
      <c r="P172" s="19" t="n">
        <f aca="false">P171+M172*N172/12</f>
        <v>38918.3446674029</v>
      </c>
    </row>
    <row r="173" customFormat="false" ht="15" hidden="false" customHeight="false" outlineLevel="0" collapsed="false">
      <c r="A173" s="18" t="n">
        <v>172</v>
      </c>
      <c r="B173" s="18" t="n">
        <f aca="false">ROUNDUP(A173/12,0)</f>
        <v>15</v>
      </c>
      <c r="C173" s="17" t="n">
        <f aca="false">Předpoklady!$B$4</f>
        <v>4000</v>
      </c>
      <c r="D173" s="19" t="n">
        <f aca="false">(F172+C173)*(1+Předpoklady!$B$12)</f>
        <v>1117181.7642263</v>
      </c>
      <c r="E173" s="13" t="n">
        <f aca="false">INDEX(Předpoklady!$C$18:$C$21,MATCH(D173,Předpoklady!$A$18:$A$21,1))</f>
        <v>0.0036</v>
      </c>
      <c r="F173" s="19" t="n">
        <f aca="false">D173*(1-E173/12)</f>
        <v>1116846.60969703</v>
      </c>
      <c r="G173" s="19" t="n">
        <f aca="false">(G172+C173)*(1+Předpoklady!$B$12)*(1-Předpoklady!$B$9/12)</f>
        <v>1136150.19455883</v>
      </c>
      <c r="H173" s="19" t="n">
        <f aca="false">IF(AND(A173&gt;12,MOD(A173,12)=Předpoklady!$B$8),Předpoklady!$B$14,0)</f>
        <v>7200</v>
      </c>
      <c r="I173" s="19" t="n">
        <f aca="false">I172+H173</f>
        <v>100800</v>
      </c>
      <c r="J173" s="19" t="n">
        <f aca="false">J172*(1+Předpoklady!$B$12)*(1-Předpoklady!$B$9/12)+H173</f>
        <v>158722.137553404</v>
      </c>
      <c r="K173" s="19" t="n">
        <f aca="false">K172+D173*E173/12</f>
        <v>33754.6101085963</v>
      </c>
      <c r="L173" s="19" t="n">
        <f aca="false">L172+((G172+C173)+J172)*(1+Předpoklady!$B$12)*Předpoklady!$B$9/12</f>
        <v>23549.8333382414</v>
      </c>
      <c r="M173" s="19" t="n">
        <f aca="false">(O172+C173)*(1+Předpoklady!$B$12)</f>
        <v>1109352.81879216</v>
      </c>
      <c r="N173" s="13" t="n">
        <f aca="false">INDEX(Předpoklady!$D$18:$D$21,MATCH(M173,Předpoklady!$A$18:$A$21,1))</f>
        <v>0.0042</v>
      </c>
      <c r="O173" s="19" t="n">
        <f aca="false">M173*(1-N173/12)</f>
        <v>1108964.54530558</v>
      </c>
      <c r="P173" s="19" t="n">
        <f aca="false">P172+M173*N173/12</f>
        <v>39306.6181539801</v>
      </c>
    </row>
    <row r="174" customFormat="false" ht="15" hidden="false" customHeight="false" outlineLevel="0" collapsed="false">
      <c r="A174" s="18" t="n">
        <v>173</v>
      </c>
      <c r="B174" s="18" t="n">
        <f aca="false">ROUNDUP(A174/12,0)</f>
        <v>15</v>
      </c>
      <c r="C174" s="17" t="n">
        <f aca="false">Předpoklady!$B$4</f>
        <v>4000</v>
      </c>
      <c r="D174" s="19" t="n">
        <f aca="false">(F173+C174)*(1+Předpoklady!$B$12)</f>
        <v>1127184.03938524</v>
      </c>
      <c r="E174" s="13" t="n">
        <f aca="false">INDEX(Předpoklady!$C$18:$C$21,MATCH(D174,Předpoklady!$A$18:$A$21,1))</f>
        <v>0.0036</v>
      </c>
      <c r="F174" s="19" t="n">
        <f aca="false">D174*(1-E174/12)</f>
        <v>1126845.88417343</v>
      </c>
      <c r="G174" s="19" t="n">
        <f aca="false">(G173+C174)*(1+Předpoklady!$B$12)*(1-Předpoklady!$B$9/12)</f>
        <v>1146310.12032996</v>
      </c>
      <c r="H174" s="19" t="n">
        <f aca="false">IF(AND(A174&gt;12,MOD(A174,12)=Předpoklady!$B$8),Předpoklady!$B$14,0)</f>
        <v>0</v>
      </c>
      <c r="I174" s="19" t="n">
        <f aca="false">I173+H174</f>
        <v>100800</v>
      </c>
      <c r="J174" s="19" t="n">
        <f aca="false">J173*(1+Předpoklady!$B$12)*(1-Předpoklady!$B$9/12)+H174</f>
        <v>159579.670701432</v>
      </c>
      <c r="K174" s="19" t="n">
        <f aca="false">K173+D174*E174/12</f>
        <v>34092.7653204119</v>
      </c>
      <c r="L174" s="19" t="n">
        <f aca="false">L173+((G173+C174)+J173)*(1+Předpoklady!$B$12)*Předpoklady!$B$9/12</f>
        <v>23876.3874245208</v>
      </c>
      <c r="M174" s="19" t="n">
        <f aca="false">(O173+C174)*(1+Předpoklady!$B$12)</f>
        <v>1119257.40865576</v>
      </c>
      <c r="N174" s="13" t="n">
        <f aca="false">INDEX(Předpoklady!$D$18:$D$21,MATCH(M174,Předpoklady!$A$18:$A$21,1))</f>
        <v>0.0042</v>
      </c>
      <c r="O174" s="19" t="n">
        <f aca="false">M174*(1-N174/12)</f>
        <v>1118865.66856274</v>
      </c>
      <c r="P174" s="19" t="n">
        <f aca="false">P173+M174*N174/12</f>
        <v>39698.3582470097</v>
      </c>
    </row>
    <row r="175" customFormat="false" ht="15" hidden="false" customHeight="false" outlineLevel="0" collapsed="false">
      <c r="A175" s="18" t="n">
        <v>174</v>
      </c>
      <c r="B175" s="18" t="n">
        <f aca="false">ROUNDUP(A175/12,0)</f>
        <v>15</v>
      </c>
      <c r="C175" s="17" t="n">
        <f aca="false">Předpoklady!$B$4</f>
        <v>4000</v>
      </c>
      <c r="D175" s="19" t="n">
        <f aca="false">(F174+C175)*(1+Předpoklady!$B$12)</f>
        <v>1137239.85121329</v>
      </c>
      <c r="E175" s="13" t="n">
        <f aca="false">INDEX(Předpoklady!$C$18:$C$21,MATCH(D175,Předpoklady!$A$18:$A$21,1))</f>
        <v>0.0036</v>
      </c>
      <c r="F175" s="19" t="n">
        <f aca="false">D175*(1-E175/12)</f>
        <v>1136898.67925793</v>
      </c>
      <c r="G175" s="19" t="n">
        <f aca="false">(G174+C175)*(1+Předpoklady!$B$12)*(1-Předpoklady!$B$9/12)</f>
        <v>1156524.93745566</v>
      </c>
      <c r="H175" s="19" t="n">
        <f aca="false">IF(AND(A175&gt;12,MOD(A175,12)=Předpoklady!$B$8),Předpoklady!$B$14,0)</f>
        <v>0</v>
      </c>
      <c r="I175" s="19" t="n">
        <f aca="false">I174+H175</f>
        <v>100800</v>
      </c>
      <c r="J175" s="19" t="n">
        <f aca="false">J174*(1+Předpoklady!$B$12)*(1-Předpoklady!$B$9/12)+H175</f>
        <v>160441.836871112</v>
      </c>
      <c r="K175" s="19" t="n">
        <f aca="false">K174+D175*E175/12</f>
        <v>34433.9372757759</v>
      </c>
      <c r="L175" s="19" t="n">
        <f aca="false">L174+((G174+C175)+J174)*(1+Předpoklady!$B$12)*Předpoklady!$B$9/12</f>
        <v>24205.7114491086</v>
      </c>
      <c r="M175" s="19" t="n">
        <f aca="false">(O174+C175)*(1+Předpoklady!$B$12)</f>
        <v>1129214.51430331</v>
      </c>
      <c r="N175" s="13" t="n">
        <f aca="false">INDEX(Předpoklady!$D$18:$D$21,MATCH(M175,Předpoklady!$A$18:$A$21,1))</f>
        <v>0.0042</v>
      </c>
      <c r="O175" s="19" t="n">
        <f aca="false">M175*(1-N175/12)</f>
        <v>1128819.28922331</v>
      </c>
      <c r="P175" s="19" t="n">
        <f aca="false">P174+M175*N175/12</f>
        <v>40093.5833270158</v>
      </c>
    </row>
    <row r="176" customFormat="false" ht="15" hidden="false" customHeight="false" outlineLevel="0" collapsed="false">
      <c r="A176" s="18" t="n">
        <v>175</v>
      </c>
      <c r="B176" s="18" t="n">
        <f aca="false">ROUNDUP(A176/12,0)</f>
        <v>15</v>
      </c>
      <c r="C176" s="17" t="n">
        <f aca="false">Předpoklady!$B$4</f>
        <v>4000</v>
      </c>
      <c r="D176" s="19" t="n">
        <f aca="false">(F175+C176)*(1+Předpoklady!$B$12)</f>
        <v>1147349.48626275</v>
      </c>
      <c r="E176" s="13" t="n">
        <f aca="false">INDEX(Předpoklady!$C$18:$C$21,MATCH(D176,Předpoklady!$A$18:$A$21,1))</f>
        <v>0.0036</v>
      </c>
      <c r="F176" s="19" t="n">
        <f aca="false">D176*(1-E176/12)</f>
        <v>1147005.28141687</v>
      </c>
      <c r="G176" s="19" t="n">
        <f aca="false">(G175+C176)*(1+Předpoklady!$B$12)*(1-Předpoklady!$B$9/12)</f>
        <v>1166794.9424992</v>
      </c>
      <c r="H176" s="19" t="n">
        <f aca="false">IF(AND(A176&gt;12,MOD(A176,12)=Předpoklady!$B$8),Předpoklady!$B$14,0)</f>
        <v>0</v>
      </c>
      <c r="I176" s="19" t="n">
        <f aca="false">I175+H176</f>
        <v>100800</v>
      </c>
      <c r="J176" s="19" t="n">
        <f aca="false">J175*(1+Předpoklady!$B$12)*(1-Předpoklady!$B$9/12)+H176</f>
        <v>161308.661093418</v>
      </c>
      <c r="K176" s="19" t="n">
        <f aca="false">K175+D176*E176/12</f>
        <v>34778.1421216547</v>
      </c>
      <c r="L176" s="19" t="n">
        <f aca="false">L175+((G175+C176)+J175)*(1+Předpoklady!$B$12)*Předpoklady!$B$9/12</f>
        <v>24537.8203772388</v>
      </c>
      <c r="M176" s="19" t="n">
        <f aca="false">(O175+C176)*(1+Předpoklady!$B$12)</f>
        <v>1139224.41418223</v>
      </c>
      <c r="N176" s="13" t="n">
        <f aca="false">INDEX(Předpoklady!$D$18:$D$21,MATCH(M176,Předpoklady!$A$18:$A$21,1))</f>
        <v>0.0042</v>
      </c>
      <c r="O176" s="19" t="n">
        <f aca="false">M176*(1-N176/12)</f>
        <v>1138825.68563727</v>
      </c>
      <c r="P176" s="19" t="n">
        <f aca="false">P175+M176*N176/12</f>
        <v>40492.3118719796</v>
      </c>
    </row>
    <row r="177" customFormat="false" ht="15" hidden="false" customHeight="false" outlineLevel="0" collapsed="false">
      <c r="A177" s="18" t="n">
        <v>176</v>
      </c>
      <c r="B177" s="18" t="n">
        <f aca="false">ROUNDUP(A177/12,0)</f>
        <v>15</v>
      </c>
      <c r="C177" s="17" t="n">
        <f aca="false">Předpoklady!$B$4</f>
        <v>4000</v>
      </c>
      <c r="D177" s="19" t="n">
        <f aca="false">(F176+C177)*(1+Předpoklady!$B$12)</f>
        <v>1157513.23261967</v>
      </c>
      <c r="E177" s="13" t="n">
        <f aca="false">INDEX(Předpoklady!$C$18:$C$21,MATCH(D177,Předpoklady!$A$18:$A$21,1))</f>
        <v>0.0036</v>
      </c>
      <c r="F177" s="19" t="n">
        <f aca="false">D177*(1-E177/12)</f>
        <v>1157165.97864989</v>
      </c>
      <c r="G177" s="19" t="n">
        <f aca="false">(G176+C177)*(1+Předpoklady!$B$12)*(1-Předpoklady!$B$9/12)</f>
        <v>1177120.4336261</v>
      </c>
      <c r="H177" s="19" t="n">
        <f aca="false">IF(AND(A177&gt;12,MOD(A177,12)=Předpoklady!$B$8),Předpoklady!$B$14,0)</f>
        <v>0</v>
      </c>
      <c r="I177" s="19" t="n">
        <f aca="false">I176+H177</f>
        <v>100800</v>
      </c>
      <c r="J177" s="19" t="n">
        <f aca="false">J176*(1+Předpoklady!$B$12)*(1-Předpoklady!$B$9/12)+H177</f>
        <v>162180.168534559</v>
      </c>
      <c r="K177" s="19" t="n">
        <f aca="false">K176+D177*E177/12</f>
        <v>35125.3960914406</v>
      </c>
      <c r="L177" s="19" t="n">
        <f aca="false">L176+((G176+C177)+J176)*(1+Předpoklady!$B$12)*Předpoklady!$B$9/12</f>
        <v>24872.7292549984</v>
      </c>
      <c r="M177" s="19" t="n">
        <f aca="false">(O176+C177)*(1+Předpoklady!$B$12)</f>
        <v>1149287.38821632</v>
      </c>
      <c r="N177" s="13" t="n">
        <f aca="false">INDEX(Předpoklady!$D$18:$D$21,MATCH(M177,Předpoklady!$A$18:$A$21,1))</f>
        <v>0.0042</v>
      </c>
      <c r="O177" s="19" t="n">
        <f aca="false">M177*(1-N177/12)</f>
        <v>1148885.13763045</v>
      </c>
      <c r="P177" s="19" t="n">
        <f aca="false">P176+M177*N177/12</f>
        <v>40894.5624578553</v>
      </c>
    </row>
    <row r="178" customFormat="false" ht="15" hidden="false" customHeight="false" outlineLevel="0" collapsed="false">
      <c r="A178" s="18" t="n">
        <v>177</v>
      </c>
      <c r="B178" s="18" t="n">
        <f aca="false">ROUNDUP(A178/12,0)</f>
        <v>15</v>
      </c>
      <c r="C178" s="17" t="n">
        <f aca="false">Předpoklady!$B$4</f>
        <v>4000</v>
      </c>
      <c r="D178" s="19" t="n">
        <f aca="false">(F177+C178)*(1+Předpoklady!$B$12)</f>
        <v>1167731.37991208</v>
      </c>
      <c r="E178" s="13" t="n">
        <f aca="false">INDEX(Předpoklady!$C$18:$C$21,MATCH(D178,Předpoklady!$A$18:$A$21,1))</f>
        <v>0.0036</v>
      </c>
      <c r="F178" s="19" t="n">
        <f aca="false">D178*(1-E178/12)</f>
        <v>1167381.06049811</v>
      </c>
      <c r="G178" s="19" t="n">
        <f aca="false">(G177+C178)*(1+Předpoklady!$B$12)*(1-Předpoklady!$B$9/12)</f>
        <v>1187501.71061279</v>
      </c>
      <c r="H178" s="19" t="n">
        <f aca="false">IF(AND(A178&gt;12,MOD(A178,12)=Předpoklady!$B$8),Předpoklady!$B$14,0)</f>
        <v>0</v>
      </c>
      <c r="I178" s="19" t="n">
        <f aca="false">I177+H178</f>
        <v>100800</v>
      </c>
      <c r="J178" s="19" t="n">
        <f aca="false">J177*(1+Předpoklady!$B$12)*(1-Předpoklady!$B$9/12)+H178</f>
        <v>163056.38449671</v>
      </c>
      <c r="K178" s="19" t="n">
        <f aca="false">K177+D178*E178/12</f>
        <v>35475.7155054142</v>
      </c>
      <c r="L178" s="19" t="n">
        <f aca="false">L177+((G177+C178)+J177)*(1+Předpoklady!$B$12)*Předpoklady!$B$9/12</f>
        <v>25210.4532097645</v>
      </c>
      <c r="M178" s="19" t="n">
        <f aca="false">(O177+C178)*(1+Předpoklady!$B$12)</f>
        <v>1159403.71781359</v>
      </c>
      <c r="N178" s="13" t="n">
        <f aca="false">INDEX(Předpoklady!$D$18:$D$21,MATCH(M178,Předpoklady!$A$18:$A$21,1))</f>
        <v>0.0042</v>
      </c>
      <c r="O178" s="19" t="n">
        <f aca="false">M178*(1-N178/12)</f>
        <v>1158997.92651236</v>
      </c>
      <c r="P178" s="19" t="n">
        <f aca="false">P177+M178*N178/12</f>
        <v>41300.3537590901</v>
      </c>
    </row>
    <row r="179" customFormat="false" ht="15" hidden="false" customHeight="false" outlineLevel="0" collapsed="false">
      <c r="A179" s="18" t="n">
        <v>178</v>
      </c>
      <c r="B179" s="18" t="n">
        <f aca="false">ROUNDUP(A179/12,0)</f>
        <v>15</v>
      </c>
      <c r="C179" s="17" t="n">
        <f aca="false">Předpoklady!$B$4</f>
        <v>4000</v>
      </c>
      <c r="D179" s="19" t="n">
        <f aca="false">(F178+C179)*(1+Předpoklady!$B$12)</f>
        <v>1178004.21931822</v>
      </c>
      <c r="E179" s="13" t="n">
        <f aca="false">INDEX(Předpoklady!$C$18:$C$21,MATCH(D179,Předpoklady!$A$18:$A$21,1))</f>
        <v>0.0036</v>
      </c>
      <c r="F179" s="19" t="n">
        <f aca="false">D179*(1-E179/12)</f>
        <v>1177650.81805242</v>
      </c>
      <c r="G179" s="19" t="n">
        <f aca="false">(G178+C179)*(1+Předpoklady!$B$12)*(1-Předpoklady!$B$9/12)</f>
        <v>1197939.07485531</v>
      </c>
      <c r="H179" s="19" t="n">
        <f aca="false">IF(AND(A179&gt;12,MOD(A179,12)=Předpoklady!$B$8),Předpoklady!$B$14,0)</f>
        <v>0</v>
      </c>
      <c r="I179" s="19" t="n">
        <f aca="false">I178+H179</f>
        <v>100800</v>
      </c>
      <c r="J179" s="19" t="n">
        <f aca="false">J178*(1+Předpoklady!$B$12)*(1-Předpoklady!$B$9/12)+H179</f>
        <v>163937.334418749</v>
      </c>
      <c r="K179" s="19" t="n">
        <f aca="false">K178+D179*E179/12</f>
        <v>35829.1167712097</v>
      </c>
      <c r="L179" s="19" t="n">
        <f aca="false">L178+((G178+C179)+J178)*(1+Předpoklady!$B$12)*Předpoklady!$B$9/12</f>
        <v>25551.0074506432</v>
      </c>
      <c r="M179" s="19" t="n">
        <f aca="false">(O178+C179)*(1+Předpoklady!$B$12)</f>
        <v>1169573.68587411</v>
      </c>
      <c r="N179" s="13" t="n">
        <f aca="false">INDEX(Předpoklady!$D$18:$D$21,MATCH(M179,Předpoklady!$A$18:$A$21,1))</f>
        <v>0.0042</v>
      </c>
      <c r="O179" s="19" t="n">
        <f aca="false">M179*(1-N179/12)</f>
        <v>1169164.33508405</v>
      </c>
      <c r="P179" s="19" t="n">
        <f aca="false">P178+M179*N179/12</f>
        <v>41709.704549146</v>
      </c>
    </row>
    <row r="180" customFormat="false" ht="15" hidden="false" customHeight="false" outlineLevel="0" collapsed="false">
      <c r="A180" s="18" t="n">
        <v>179</v>
      </c>
      <c r="B180" s="18" t="n">
        <f aca="false">ROUNDUP(A180/12,0)</f>
        <v>15</v>
      </c>
      <c r="C180" s="17" t="n">
        <f aca="false">Předpoklady!$B$4</f>
        <v>4000</v>
      </c>
      <c r="D180" s="19" t="n">
        <f aca="false">(F179+C180)*(1+Předpoklady!$B$12)</f>
        <v>1188332.04357484</v>
      </c>
      <c r="E180" s="13" t="n">
        <f aca="false">INDEX(Předpoklady!$C$18:$C$21,MATCH(D180,Předpoklady!$A$18:$A$21,1))</f>
        <v>0.0036</v>
      </c>
      <c r="F180" s="19" t="n">
        <f aca="false">D180*(1-E180/12)</f>
        <v>1187975.54396177</v>
      </c>
      <c r="G180" s="19" t="n">
        <f aca="false">(G179+C180)*(1+Předpoklady!$B$12)*(1-Předpoklady!$B$9/12)</f>
        <v>1208432.82937806</v>
      </c>
      <c r="H180" s="19" t="n">
        <f aca="false">IF(AND(A180&gt;12,MOD(A180,12)=Předpoklady!$B$8),Předpoklady!$B$14,0)</f>
        <v>0</v>
      </c>
      <c r="I180" s="19" t="n">
        <f aca="false">I179+H180</f>
        <v>100800</v>
      </c>
      <c r="J180" s="19" t="n">
        <f aca="false">J179*(1+Předpoklady!$B$12)*(1-Předpoklady!$B$9/12)+H180</f>
        <v>164823.043876991</v>
      </c>
      <c r="K180" s="19" t="n">
        <f aca="false">K179+D180*E180/12</f>
        <v>36185.6163842821</v>
      </c>
      <c r="L180" s="19" t="n">
        <f aca="false">L179+((G179+C180)+J179)*(1+Předpoklady!$B$12)*Předpoklady!$B$9/12</f>
        <v>25894.4072689116</v>
      </c>
      <c r="M180" s="19" t="n">
        <f aca="false">(O179+C180)*(1+Předpoklady!$B$12)</f>
        <v>1179797.57679794</v>
      </c>
      <c r="N180" s="13" t="n">
        <f aca="false">INDEX(Předpoklady!$D$18:$D$21,MATCH(M180,Předpoklady!$A$18:$A$21,1))</f>
        <v>0.0042</v>
      </c>
      <c r="O180" s="19" t="n">
        <f aca="false">M180*(1-N180/12)</f>
        <v>1179384.64764606</v>
      </c>
      <c r="P180" s="19" t="n">
        <f aca="false">P179+M180*N180/12</f>
        <v>42122.6337010253</v>
      </c>
    </row>
    <row r="181" customFormat="false" ht="15" hidden="false" customHeight="false" outlineLevel="0" collapsed="false">
      <c r="A181" s="18" t="n">
        <v>180</v>
      </c>
      <c r="B181" s="18" t="n">
        <f aca="false">ROUNDUP(A181/12,0)</f>
        <v>15</v>
      </c>
      <c r="C181" s="17" t="n">
        <f aca="false">Předpoklady!$B$4</f>
        <v>4000</v>
      </c>
      <c r="D181" s="19" t="n">
        <f aca="false">(F180+C181)*(1+Předpoklady!$B$12)</f>
        <v>1198715.14698556</v>
      </c>
      <c r="E181" s="13" t="n">
        <f aca="false">INDEX(Předpoklady!$C$18:$C$21,MATCH(D181,Předpoklady!$A$18:$A$21,1))</f>
        <v>0.0036</v>
      </c>
      <c r="F181" s="19" t="n">
        <f aca="false">D181*(1-E181/12)</f>
        <v>1198355.53244146</v>
      </c>
      <c r="G181" s="19" t="n">
        <f aca="false">(G180+C181)*(1+Předpoklady!$B$12)*(1-Předpoklady!$B$9/12)</f>
        <v>1218983.27884261</v>
      </c>
      <c r="H181" s="19" t="n">
        <f aca="false">IF(AND(A181&gt;12,MOD(A181,12)=Předpoklady!$B$8),Předpoklady!$B$14,0)</f>
        <v>0</v>
      </c>
      <c r="I181" s="19" t="n">
        <f aca="false">I180+H181</f>
        <v>100800</v>
      </c>
      <c r="J181" s="19" t="n">
        <f aca="false">J180*(1+Předpoklady!$B$12)*(1-Předpoklady!$B$9/12)+H181</f>
        <v>165713.538585934</v>
      </c>
      <c r="K181" s="19" t="n">
        <f aca="false">K180+D181*E181/12</f>
        <v>36545.2309283778</v>
      </c>
      <c r="L181" s="19" t="n">
        <f aca="false">L180+((G180+C181)+J180)*(1+Předpoklady!$B$12)*Předpoklady!$B$9/12</f>
        <v>26240.6680384611</v>
      </c>
      <c r="M181" s="19" t="n">
        <f aca="false">(O180+C181)*(1+Předpoklady!$B$12)</f>
        <v>1190075.67649307</v>
      </c>
      <c r="N181" s="13" t="n">
        <f aca="false">INDEX(Předpoklady!$D$18:$D$21,MATCH(M181,Předpoklady!$A$18:$A$21,1))</f>
        <v>0.0042</v>
      </c>
      <c r="O181" s="19" t="n">
        <f aca="false">M181*(1-N181/12)</f>
        <v>1189659.1500063</v>
      </c>
      <c r="P181" s="19" t="n">
        <f aca="false">P180+M181*N181/12</f>
        <v>42539.1601877979</v>
      </c>
    </row>
    <row r="182" customFormat="false" ht="15" hidden="false" customHeight="false" outlineLevel="0" collapsed="false">
      <c r="A182" s="18" t="n">
        <v>181</v>
      </c>
      <c r="B182" s="18" t="n">
        <f aca="false">ROUNDUP(A182/12,0)</f>
        <v>16</v>
      </c>
      <c r="C182" s="17" t="n">
        <f aca="false">Předpoklady!$B$4</f>
        <v>4000</v>
      </c>
      <c r="D182" s="19" t="n">
        <f aca="false">(F181+C182)*(1+Předpoklady!$B$12)</f>
        <v>1209153.82542924</v>
      </c>
      <c r="E182" s="13" t="n">
        <f aca="false">INDEX(Předpoklady!$C$18:$C$21,MATCH(D182,Předpoklady!$A$18:$A$21,1))</f>
        <v>0.0036</v>
      </c>
      <c r="F182" s="19" t="n">
        <f aca="false">D182*(1-E182/12)</f>
        <v>1208791.07928161</v>
      </c>
      <c r="G182" s="19" t="n">
        <f aca="false">(G181+C182)*(1+Předpoklady!$B$12)*(1-Předpoklady!$B$9/12)</f>
        <v>1229590.72955653</v>
      </c>
      <c r="H182" s="19" t="n">
        <f aca="false">IF(AND(A182&gt;12,MOD(A182,12)=Předpoklady!$B$8),Předpoklady!$B$14,0)</f>
        <v>0</v>
      </c>
      <c r="I182" s="19" t="n">
        <f aca="false">I181+H182</f>
        <v>100800</v>
      </c>
      <c r="J182" s="19" t="n">
        <f aca="false">J181*(1+Předpoklady!$B$12)*(1-Předpoklady!$B$9/12)+H182</f>
        <v>166608.844399004</v>
      </c>
      <c r="K182" s="19" t="n">
        <f aca="false">K181+D182*E182/12</f>
        <v>36907.9770760066</v>
      </c>
      <c r="L182" s="19" t="n">
        <f aca="false">L181+((G181+C182)+J181)*(1+Předpoklady!$B$12)*Předpoklady!$B$9/12</f>
        <v>26589.8052162444</v>
      </c>
      <c r="M182" s="19" t="n">
        <f aca="false">(O181+C182)*(1+Předpoklady!$B$12)</f>
        <v>1200408.27238344</v>
      </c>
      <c r="N182" s="13" t="n">
        <f aca="false">INDEX(Předpoklady!$D$18:$D$21,MATCH(M182,Předpoklady!$A$18:$A$21,1))</f>
        <v>0.0042</v>
      </c>
      <c r="O182" s="19" t="n">
        <f aca="false">M182*(1-N182/12)</f>
        <v>1199988.12948811</v>
      </c>
      <c r="P182" s="19" t="n">
        <f aca="false">P181+M182*N182/12</f>
        <v>42959.3030831321</v>
      </c>
    </row>
    <row r="183" customFormat="false" ht="15" hidden="false" customHeight="false" outlineLevel="0" collapsed="false">
      <c r="A183" s="18" t="n">
        <v>182</v>
      </c>
      <c r="B183" s="18" t="n">
        <f aca="false">ROUNDUP(A183/12,0)</f>
        <v>16</v>
      </c>
      <c r="C183" s="17" t="n">
        <f aca="false">Předpoklady!$B$4</f>
        <v>4000</v>
      </c>
      <c r="D183" s="19" t="n">
        <f aca="false">(F182+C183)*(1+Předpoklady!$B$12)</f>
        <v>1219648.37636841</v>
      </c>
      <c r="E183" s="13" t="n">
        <f aca="false">INDEX(Předpoklady!$C$18:$C$21,MATCH(D183,Předpoklady!$A$18:$A$21,1))</f>
        <v>0.0036</v>
      </c>
      <c r="F183" s="19" t="n">
        <f aca="false">D183*(1-E183/12)</f>
        <v>1219282.4818555</v>
      </c>
      <c r="G183" s="19" t="n">
        <f aca="false">(G182+C183)*(1+Předpoklady!$B$12)*(1-Předpoklady!$B$9/12)</f>
        <v>1240255.48948227</v>
      </c>
      <c r="H183" s="19" t="n">
        <f aca="false">IF(AND(A183&gt;12,MOD(A183,12)=Předpoklady!$B$8),Předpoklady!$B$14,0)</f>
        <v>0</v>
      </c>
      <c r="I183" s="19" t="n">
        <f aca="false">I182+H183</f>
        <v>100800</v>
      </c>
      <c r="J183" s="19" t="n">
        <f aca="false">J182*(1+Předpoklady!$B$12)*(1-Předpoklady!$B$9/12)+H183</f>
        <v>167508.987309306</v>
      </c>
      <c r="K183" s="19" t="n">
        <f aca="false">K182+D183*E183/12</f>
        <v>37273.8715889171</v>
      </c>
      <c r="L183" s="19" t="n">
        <f aca="false">L182+((G182+C183)+J182)*(1+Předpoklady!$B$12)*Předpoklady!$B$9/12</f>
        <v>26941.8343427239</v>
      </c>
      <c r="M183" s="19" t="n">
        <f aca="false">(O182+C183)*(1+Předpoklady!$B$12)</f>
        <v>1210795.65341694</v>
      </c>
      <c r="N183" s="13" t="n">
        <f aca="false">INDEX(Předpoklady!$D$18:$D$21,MATCH(M183,Předpoklady!$A$18:$A$21,1))</f>
        <v>0.0042</v>
      </c>
      <c r="O183" s="19" t="n">
        <f aca="false">M183*(1-N183/12)</f>
        <v>1210371.87493825</v>
      </c>
      <c r="P183" s="19" t="n">
        <f aca="false">P182+M183*N183/12</f>
        <v>43383.081561828</v>
      </c>
    </row>
    <row r="184" customFormat="false" ht="15" hidden="false" customHeight="false" outlineLevel="0" collapsed="false">
      <c r="A184" s="18" t="n">
        <v>183</v>
      </c>
      <c r="B184" s="18" t="n">
        <f aca="false">ROUNDUP(A184/12,0)</f>
        <v>16</v>
      </c>
      <c r="C184" s="17" t="n">
        <f aca="false">Předpoklady!$B$4</f>
        <v>4000</v>
      </c>
      <c r="D184" s="19" t="n">
        <f aca="false">(F183+C184)*(1+Předpoklady!$B$12)</f>
        <v>1230199.09885778</v>
      </c>
      <c r="E184" s="13" t="n">
        <f aca="false">INDEX(Předpoklady!$C$18:$C$21,MATCH(D184,Předpoklady!$A$18:$A$21,1))</f>
        <v>0.0036</v>
      </c>
      <c r="F184" s="19" t="n">
        <f aca="false">D184*(1-E184/12)</f>
        <v>1229830.03912812</v>
      </c>
      <c r="G184" s="19" t="n">
        <f aca="false">(G183+C184)*(1+Předpoklady!$B$12)*(1-Předpoklady!$B$9/12)</f>
        <v>1250977.86824615</v>
      </c>
      <c r="H184" s="19" t="n">
        <f aca="false">IF(AND(A184&gt;12,MOD(A184,12)=Předpoklady!$B$8),Předpoklady!$B$14,0)</f>
        <v>0</v>
      </c>
      <c r="I184" s="19" t="n">
        <f aca="false">I183+H184</f>
        <v>100800</v>
      </c>
      <c r="J184" s="19" t="n">
        <f aca="false">J183*(1+Předpoklady!$B$12)*(1-Předpoklady!$B$9/12)+H184</f>
        <v>168413.993450381</v>
      </c>
      <c r="K184" s="19" t="n">
        <f aca="false">K183+D184*E184/12</f>
        <v>37642.9313185744</v>
      </c>
      <c r="L184" s="19" t="n">
        <f aca="false">L183+((G183+C184)+J183)*(1+Předpoklady!$B$12)*Předpoklady!$B$9/12</f>
        <v>27296.771042323</v>
      </c>
      <c r="M184" s="19" t="n">
        <f aca="false">(O183+C184)*(1+Předpoklady!$B$12)</f>
        <v>1221238.11007352</v>
      </c>
      <c r="N184" s="13" t="n">
        <f aca="false">INDEX(Předpoklady!$D$18:$D$21,MATCH(M184,Předpoklady!$A$18:$A$21,1))</f>
        <v>0.0042</v>
      </c>
      <c r="O184" s="19" t="n">
        <f aca="false">M184*(1-N184/12)</f>
        <v>1220810.676735</v>
      </c>
      <c r="P184" s="19" t="n">
        <f aca="false">P183+M184*N184/12</f>
        <v>43810.5149003537</v>
      </c>
    </row>
    <row r="185" customFormat="false" ht="15" hidden="false" customHeight="false" outlineLevel="0" collapsed="false">
      <c r="A185" s="18" t="n">
        <v>184</v>
      </c>
      <c r="B185" s="18" t="n">
        <f aca="false">ROUNDUP(A185/12,0)</f>
        <v>16</v>
      </c>
      <c r="C185" s="17" t="n">
        <f aca="false">Předpoklady!$B$4</f>
        <v>4000</v>
      </c>
      <c r="D185" s="19" t="n">
        <f aca="false">(F184+C185)*(1+Předpoklady!$B$12)</f>
        <v>1240806.2935527</v>
      </c>
      <c r="E185" s="13" t="n">
        <f aca="false">INDEX(Předpoklady!$C$18:$C$21,MATCH(D185,Předpoklady!$A$18:$A$21,1))</f>
        <v>0.0036</v>
      </c>
      <c r="F185" s="19" t="n">
        <f aca="false">D185*(1-E185/12)</f>
        <v>1240434.05166463</v>
      </c>
      <c r="G185" s="19" t="n">
        <f aca="false">(G184+C185)*(1+Předpoklady!$B$12)*(1-Předpoklady!$B$9/12)</f>
        <v>1261758.1771473</v>
      </c>
      <c r="H185" s="19" t="n">
        <f aca="false">IF(AND(A185&gt;12,MOD(A185,12)=Předpoklady!$B$8),Předpoklady!$B$14,0)</f>
        <v>7200</v>
      </c>
      <c r="I185" s="19" t="n">
        <f aca="false">I184+H185</f>
        <v>108000</v>
      </c>
      <c r="J185" s="19" t="n">
        <f aca="false">J184*(1+Předpoklady!$B$12)*(1-Předpoklady!$B$9/12)+H185</f>
        <v>176523.889096959</v>
      </c>
      <c r="K185" s="19" t="n">
        <f aca="false">K184+D185*E185/12</f>
        <v>38015.1732066402</v>
      </c>
      <c r="L185" s="19" t="n">
        <f aca="false">L184+((G184+C185)+J184)*(1+Předpoklady!$B$12)*Předpoklady!$B$9/12</f>
        <v>27654.6310238794</v>
      </c>
      <c r="M185" s="19" t="n">
        <f aca="false">(O184+C185)*(1+Předpoklady!$B$12)</f>
        <v>1231735.9343733</v>
      </c>
      <c r="N185" s="13" t="n">
        <f aca="false">INDEX(Předpoklady!$D$18:$D$21,MATCH(M185,Předpoklady!$A$18:$A$21,1))</f>
        <v>0.0042</v>
      </c>
      <c r="O185" s="19" t="n">
        <f aca="false">M185*(1-N185/12)</f>
        <v>1231304.82679627</v>
      </c>
      <c r="P185" s="19" t="n">
        <f aca="false">P184+M185*N185/12</f>
        <v>44241.6224773844</v>
      </c>
    </row>
    <row r="186" customFormat="false" ht="15" hidden="false" customHeight="false" outlineLevel="0" collapsed="false">
      <c r="A186" s="18" t="n">
        <v>185</v>
      </c>
      <c r="B186" s="18" t="n">
        <f aca="false">ROUNDUP(A186/12,0)</f>
        <v>16</v>
      </c>
      <c r="C186" s="17" t="n">
        <f aca="false">Předpoklady!$B$4</f>
        <v>4000</v>
      </c>
      <c r="D186" s="19" t="n">
        <f aca="false">(F185+C186)*(1+Předpoklady!$B$12)</f>
        <v>1251470.26271778</v>
      </c>
      <c r="E186" s="13" t="n">
        <f aca="false">INDEX(Předpoklady!$C$18:$C$21,MATCH(D186,Předpoklady!$A$18:$A$21,1))</f>
        <v>0.0036</v>
      </c>
      <c r="F186" s="19" t="n">
        <f aca="false">D186*(1-E186/12)</f>
        <v>1251094.82163897</v>
      </c>
      <c r="G186" s="19" t="n">
        <f aca="false">(G185+C186)*(1+Předpoklady!$B$12)*(1-Předpoklady!$B$9/12)</f>
        <v>1272596.72916671</v>
      </c>
      <c r="H186" s="19" t="n">
        <f aca="false">IF(AND(A186&gt;12,MOD(A186,12)=Předpoklady!$B$8),Předpoklady!$B$14,0)</f>
        <v>0</v>
      </c>
      <c r="I186" s="19" t="n">
        <f aca="false">I185+H186</f>
        <v>108000</v>
      </c>
      <c r="J186" s="19" t="n">
        <f aca="false">J185*(1+Předpoklady!$B$12)*(1-Předpoklady!$B$9/12)+H186</f>
        <v>177477.600335056</v>
      </c>
      <c r="K186" s="19" t="n">
        <f aca="false">K185+D186*E186/12</f>
        <v>38390.6142854556</v>
      </c>
      <c r="L186" s="19" t="n">
        <f aca="false">L185+((G185+C186)+J185)*(1+Předpoklady!$B$12)*Předpoklady!$B$9/12</f>
        <v>28017.2402585635</v>
      </c>
      <c r="M186" s="19" t="n">
        <f aca="false">(O185+C186)*(1+Předpoklady!$B$12)</f>
        <v>1242289.41988474</v>
      </c>
      <c r="N186" s="13" t="n">
        <f aca="false">INDEX(Předpoklady!$D$18:$D$21,MATCH(M186,Předpoklady!$A$18:$A$21,1))</f>
        <v>0.0042</v>
      </c>
      <c r="O186" s="19" t="n">
        <f aca="false">M186*(1-N186/12)</f>
        <v>1241854.61858778</v>
      </c>
      <c r="P186" s="19" t="n">
        <f aca="false">P185+M186*N186/12</f>
        <v>44676.423774344</v>
      </c>
    </row>
    <row r="187" customFormat="false" ht="15" hidden="false" customHeight="false" outlineLevel="0" collapsed="false">
      <c r="A187" s="18" t="n">
        <v>186</v>
      </c>
      <c r="B187" s="18" t="n">
        <f aca="false">ROUNDUP(A187/12,0)</f>
        <v>16</v>
      </c>
      <c r="C187" s="17" t="n">
        <f aca="false">Předpoklady!$B$4</f>
        <v>4000</v>
      </c>
      <c r="D187" s="19" t="n">
        <f aca="false">(F186+C187)*(1+Předpoklady!$B$12)</f>
        <v>1262191.3102355</v>
      </c>
      <c r="E187" s="13" t="n">
        <f aca="false">INDEX(Předpoklady!$C$18:$C$21,MATCH(D187,Předpoklady!$A$18:$A$21,1))</f>
        <v>0.0036</v>
      </c>
      <c r="F187" s="19" t="n">
        <f aca="false">D187*(1-E187/12)</f>
        <v>1261812.65284242</v>
      </c>
      <c r="G187" s="19" t="n">
        <f aca="false">(G186+C187)*(1+Předpoklady!$B$12)*(1-Předpoklady!$B$9/12)</f>
        <v>1283493.83897634</v>
      </c>
      <c r="H187" s="19" t="n">
        <f aca="false">IF(AND(A187&gt;12,MOD(A187,12)=Předpoklady!$B$8),Předpoklady!$B$14,0)</f>
        <v>0</v>
      </c>
      <c r="I187" s="19" t="n">
        <f aca="false">I186+H187</f>
        <v>108000</v>
      </c>
      <c r="J187" s="19" t="n">
        <f aca="false">J186*(1+Předpoklady!$B$12)*(1-Předpoklady!$B$9/12)+H187</f>
        <v>178436.464219235</v>
      </c>
      <c r="K187" s="19" t="n">
        <f aca="false">K186+D187*E187/12</f>
        <v>38769.2716785262</v>
      </c>
      <c r="L187" s="19" t="n">
        <f aca="false">L186+((G186+C187)+J186)*(1+Předpoklady!$B$12)*Předpoklady!$B$9/12</f>
        <v>28382.8142278548</v>
      </c>
      <c r="M187" s="19" t="n">
        <f aca="false">(O186+C187)*(1+Předpoklady!$B$12)</f>
        <v>1252898.86173285</v>
      </c>
      <c r="N187" s="13" t="n">
        <f aca="false">INDEX(Předpoklady!$D$18:$D$21,MATCH(M187,Předpoklady!$A$18:$A$21,1))</f>
        <v>0.0042</v>
      </c>
      <c r="O187" s="19" t="n">
        <f aca="false">M187*(1-N187/12)</f>
        <v>1252460.34713124</v>
      </c>
      <c r="P187" s="19" t="n">
        <f aca="false">P186+M187*N187/12</f>
        <v>45114.9383759505</v>
      </c>
    </row>
    <row r="188" customFormat="false" ht="15" hidden="false" customHeight="false" outlineLevel="0" collapsed="false">
      <c r="A188" s="18" t="n">
        <v>187</v>
      </c>
      <c r="B188" s="18" t="n">
        <f aca="false">ROUNDUP(A188/12,0)</f>
        <v>16</v>
      </c>
      <c r="C188" s="17" t="n">
        <f aca="false">Předpoklady!$B$4</f>
        <v>4000</v>
      </c>
      <c r="D188" s="19" t="n">
        <f aca="false">(F187+C188)*(1+Předpoklady!$B$12)</f>
        <v>1272969.74161481</v>
      </c>
      <c r="E188" s="13" t="n">
        <f aca="false">INDEX(Předpoklady!$C$18:$C$21,MATCH(D188,Předpoklady!$A$18:$A$21,1))</f>
        <v>0.0036</v>
      </c>
      <c r="F188" s="19" t="n">
        <f aca="false">D188*(1-E188/12)</f>
        <v>1272587.85069233</v>
      </c>
      <c r="G188" s="19" t="n">
        <f aca="false">(G187+C188)*(1+Předpoklady!$B$12)*(1-Předpoklady!$B$9/12)</f>
        <v>1294449.82294822</v>
      </c>
      <c r="H188" s="19" t="n">
        <f aca="false">IF(AND(A188&gt;12,MOD(A188,12)=Předpoklady!$B$8),Předpoklady!$B$14,0)</f>
        <v>0</v>
      </c>
      <c r="I188" s="19" t="n">
        <f aca="false">I187+H188</f>
        <v>108000</v>
      </c>
      <c r="J188" s="19" t="n">
        <f aca="false">J187*(1+Předpoklady!$B$12)*(1-Předpoklady!$B$9/12)+H188</f>
        <v>179400.508587863</v>
      </c>
      <c r="K188" s="19" t="n">
        <f aca="false">K187+D188*E188/12</f>
        <v>39151.1626010107</v>
      </c>
      <c r="L188" s="19" t="n">
        <f aca="false">L187+((G187+C188)+J187)*(1+Předpoklady!$B$12)*Předpoklady!$B$9/12</f>
        <v>28751.3689494192</v>
      </c>
      <c r="M188" s="19" t="n">
        <f aca="false">(O187+C188)*(1+Předpoklady!$B$12)</f>
        <v>1263564.55660743</v>
      </c>
      <c r="N188" s="13" t="n">
        <f aca="false">INDEX(Předpoklady!$D$18:$D$21,MATCH(M188,Předpoklady!$A$18:$A$21,1))</f>
        <v>0.0042</v>
      </c>
      <c r="O188" s="19" t="n">
        <f aca="false">M188*(1-N188/12)</f>
        <v>1263122.30901262</v>
      </c>
      <c r="P188" s="19" t="n">
        <f aca="false">P187+M188*N188/12</f>
        <v>45557.1859707631</v>
      </c>
    </row>
    <row r="189" customFormat="false" ht="15" hidden="false" customHeight="false" outlineLevel="0" collapsed="false">
      <c r="A189" s="18" t="n">
        <v>188</v>
      </c>
      <c r="B189" s="18" t="n">
        <f aca="false">ROUNDUP(A189/12,0)</f>
        <v>16</v>
      </c>
      <c r="C189" s="17" t="n">
        <f aca="false">Předpoklady!$B$4</f>
        <v>4000</v>
      </c>
      <c r="D189" s="19" t="n">
        <f aca="false">(F188+C189)*(1+Předpoklady!$B$12)</f>
        <v>1283805.86399994</v>
      </c>
      <c r="E189" s="13" t="n">
        <f aca="false">INDEX(Předpoklady!$C$18:$C$21,MATCH(D189,Předpoklady!$A$18:$A$21,1))</f>
        <v>0.0036</v>
      </c>
      <c r="F189" s="19" t="n">
        <f aca="false">D189*(1-E189/12)</f>
        <v>1283420.72224074</v>
      </c>
      <c r="G189" s="19" t="n">
        <f aca="false">(G188+C189)*(1+Předpoklady!$B$12)*(1-Předpoklady!$B$9/12)</f>
        <v>1305464.99916366</v>
      </c>
      <c r="H189" s="19" t="n">
        <f aca="false">IF(AND(A189&gt;12,MOD(A189,12)=Předpoklady!$B$8),Předpoklady!$B$14,0)</f>
        <v>0</v>
      </c>
      <c r="I189" s="19" t="n">
        <f aca="false">I188+H189</f>
        <v>108000</v>
      </c>
      <c r="J189" s="19" t="n">
        <f aca="false">J188*(1+Předpoklady!$B$12)*(1-Předpoklady!$B$9/12)+H189</f>
        <v>180369.761429707</v>
      </c>
      <c r="K189" s="19" t="n">
        <f aca="false">K188+D189*E189/12</f>
        <v>39536.3043602106</v>
      </c>
      <c r="L189" s="19" t="n">
        <f aca="false">L188+((G188+C189)+J188)*(1+Předpoklady!$B$12)*Předpoklady!$B$9/12</f>
        <v>29122.920527462</v>
      </c>
      <c r="M189" s="19" t="n">
        <f aca="false">(O188+C189)*(1+Předpoklady!$B$12)</f>
        <v>1274286.8027714</v>
      </c>
      <c r="N189" s="13" t="n">
        <f aca="false">INDEX(Předpoklady!$D$18:$D$21,MATCH(M189,Předpoklady!$A$18:$A$21,1))</f>
        <v>0.0042</v>
      </c>
      <c r="O189" s="19" t="n">
        <f aca="false">M189*(1-N189/12)</f>
        <v>1273840.80239043</v>
      </c>
      <c r="P189" s="19" t="n">
        <f aca="false">P188+M189*N189/12</f>
        <v>46003.1863517331</v>
      </c>
    </row>
    <row r="190" customFormat="false" ht="15" hidden="false" customHeight="false" outlineLevel="0" collapsed="false">
      <c r="A190" s="18" t="n">
        <v>189</v>
      </c>
      <c r="B190" s="18" t="n">
        <f aca="false">ROUNDUP(A190/12,0)</f>
        <v>16</v>
      </c>
      <c r="C190" s="17" t="n">
        <f aca="false">Předpoklady!$B$4</f>
        <v>4000</v>
      </c>
      <c r="D190" s="19" t="n">
        <f aca="false">(F189+C190)*(1+Předpoklady!$B$12)</f>
        <v>1294699.98617905</v>
      </c>
      <c r="E190" s="13" t="n">
        <f aca="false">INDEX(Předpoklady!$C$18:$C$21,MATCH(D190,Předpoklady!$A$18:$A$21,1))</f>
        <v>0.0036</v>
      </c>
      <c r="F190" s="19" t="n">
        <f aca="false">D190*(1-E190/12)</f>
        <v>1294311.57618319</v>
      </c>
      <c r="G190" s="19" t="n">
        <f aca="false">(G189+C190)*(1+Předpoklady!$B$12)*(1-Předpoklady!$B$9/12)</f>
        <v>1316539.68742249</v>
      </c>
      <c r="H190" s="19" t="n">
        <f aca="false">IF(AND(A190&gt;12,MOD(A190,12)=Předpoklady!$B$8),Předpoklady!$B$14,0)</f>
        <v>0</v>
      </c>
      <c r="I190" s="19" t="n">
        <f aca="false">I189+H190</f>
        <v>108000</v>
      </c>
      <c r="J190" s="19" t="n">
        <f aca="false">J189*(1+Předpoklady!$B$12)*(1-Předpoklady!$B$9/12)+H190</f>
        <v>181344.250884751</v>
      </c>
      <c r="K190" s="19" t="n">
        <f aca="false">K189+D190*E190/12</f>
        <v>39924.7143560644</v>
      </c>
      <c r="L190" s="19" t="n">
        <f aca="false">L189+((G189+C190)+J189)*(1+Předpoklady!$B$12)*Předpoklady!$B$9/12</f>
        <v>29497.4851531953</v>
      </c>
      <c r="M190" s="19" t="n">
        <f aca="false">(O189+C190)*(1+Předpoklady!$B$12)</f>
        <v>1285065.90006911</v>
      </c>
      <c r="N190" s="13" t="n">
        <f aca="false">INDEX(Předpoklady!$D$18:$D$21,MATCH(M190,Předpoklady!$A$18:$A$21,1))</f>
        <v>0.0042</v>
      </c>
      <c r="O190" s="19" t="n">
        <f aca="false">M190*(1-N190/12)</f>
        <v>1284616.12700408</v>
      </c>
      <c r="P190" s="19" t="n">
        <f aca="false">P189+M190*N190/12</f>
        <v>46452.9594167573</v>
      </c>
    </row>
    <row r="191" customFormat="false" ht="15" hidden="false" customHeight="false" outlineLevel="0" collapsed="false">
      <c r="A191" s="18" t="n">
        <v>190</v>
      </c>
      <c r="B191" s="18" t="n">
        <f aca="false">ROUNDUP(A191/12,0)</f>
        <v>16</v>
      </c>
      <c r="C191" s="17" t="n">
        <f aca="false">Předpoklady!$B$4</f>
        <v>4000</v>
      </c>
      <c r="D191" s="19" t="n">
        <f aca="false">(F190+C191)*(1+Předpoklady!$B$12)</f>
        <v>1305652.41859308</v>
      </c>
      <c r="E191" s="13" t="n">
        <f aca="false">INDEX(Předpoklady!$C$18:$C$21,MATCH(D191,Předpoklady!$A$18:$A$21,1))</f>
        <v>0.0036</v>
      </c>
      <c r="F191" s="19" t="n">
        <f aca="false">D191*(1-E191/12)</f>
        <v>1305260.72286751</v>
      </c>
      <c r="G191" s="19" t="n">
        <f aca="false">(G190+C191)*(1+Předpoklady!$B$12)*(1-Předpoklady!$B$9/12)</f>
        <v>1327674.20925231</v>
      </c>
      <c r="H191" s="19" t="n">
        <f aca="false">IF(AND(A191&gt;12,MOD(A191,12)=Předpoklady!$B$8),Předpoklady!$B$14,0)</f>
        <v>0</v>
      </c>
      <c r="I191" s="19" t="n">
        <f aca="false">I190+H191</f>
        <v>108000</v>
      </c>
      <c r="J191" s="19" t="n">
        <f aca="false">J190*(1+Předpoklady!$B$12)*(1-Předpoklady!$B$9/12)+H191</f>
        <v>182324.005245012</v>
      </c>
      <c r="K191" s="19" t="n">
        <f aca="false">K190+D191*E191/12</f>
        <v>40316.4100816423</v>
      </c>
      <c r="L191" s="19" t="n">
        <f aca="false">L190+((G190+C191)+J190)*(1+Předpoklady!$B$12)*Předpoklady!$B$9/12</f>
        <v>29875.0791053076</v>
      </c>
      <c r="M191" s="19" t="n">
        <f aca="false">(O190+C191)*(1+Předpoklady!$B$12)</f>
        <v>1295902.14993472</v>
      </c>
      <c r="N191" s="13" t="n">
        <f aca="false">INDEX(Předpoklady!$D$18:$D$21,MATCH(M191,Předpoklady!$A$18:$A$21,1))</f>
        <v>0.0042</v>
      </c>
      <c r="O191" s="19" t="n">
        <f aca="false">M191*(1-N191/12)</f>
        <v>1295448.58418224</v>
      </c>
      <c r="P191" s="19" t="n">
        <f aca="false">P190+M191*N191/12</f>
        <v>46906.5251692345</v>
      </c>
    </row>
    <row r="192" customFormat="false" ht="15" hidden="false" customHeight="false" outlineLevel="0" collapsed="false">
      <c r="A192" s="18" t="n">
        <v>191</v>
      </c>
      <c r="B192" s="18" t="n">
        <f aca="false">ROUNDUP(A192/12,0)</f>
        <v>16</v>
      </c>
      <c r="C192" s="17" t="n">
        <f aca="false">Předpoklady!$B$4</f>
        <v>4000</v>
      </c>
      <c r="D192" s="19" t="n">
        <f aca="false">(F191+C192)*(1+Předpoklady!$B$12)</f>
        <v>1316663.47334462</v>
      </c>
      <c r="E192" s="13" t="n">
        <f aca="false">INDEX(Předpoklady!$C$18:$C$21,MATCH(D192,Předpoklady!$A$18:$A$21,1))</f>
        <v>0.0036</v>
      </c>
      <c r="F192" s="19" t="n">
        <f aca="false">D192*(1-E192/12)</f>
        <v>1316268.47430261</v>
      </c>
      <c r="G192" s="19" t="n">
        <f aca="false">(G191+C192)*(1+Předpoklady!$B$12)*(1-Předpoklady!$B$9/12)</f>
        <v>1338868.88791787</v>
      </c>
      <c r="H192" s="19" t="n">
        <f aca="false">IF(AND(A192&gt;12,MOD(A192,12)=Předpoklady!$B$8),Předpoklady!$B$14,0)</f>
        <v>0</v>
      </c>
      <c r="I192" s="19" t="n">
        <f aca="false">I191+H192</f>
        <v>108000</v>
      </c>
      <c r="J192" s="19" t="n">
        <f aca="false">J191*(1+Předpoklady!$B$12)*(1-Předpoklady!$B$9/12)+H192</f>
        <v>183309.052955362</v>
      </c>
      <c r="K192" s="19" t="n">
        <f aca="false">K191+D192*E192/12</f>
        <v>40711.4091236457</v>
      </c>
      <c r="L192" s="19" t="n">
        <f aca="false">L191+((G191+C192)+J191)*(1+Předpoklady!$B$12)*Předpoklady!$B$9/12</f>
        <v>30255.7187504372</v>
      </c>
      <c r="M192" s="19" t="n">
        <f aca="false">(O191+C192)*(1+Předpoklady!$B$12)</f>
        <v>1306795.85540066</v>
      </c>
      <c r="N192" s="13" t="n">
        <f aca="false">INDEX(Předpoklady!$D$18:$D$21,MATCH(M192,Předpoklady!$A$18:$A$21,1))</f>
        <v>0.0042</v>
      </c>
      <c r="O192" s="19" t="n">
        <f aca="false">M192*(1-N192/12)</f>
        <v>1306338.47685127</v>
      </c>
      <c r="P192" s="19" t="n">
        <f aca="false">P191+M192*N192/12</f>
        <v>47363.9037186247</v>
      </c>
    </row>
    <row r="193" customFormat="false" ht="15" hidden="false" customHeight="false" outlineLevel="0" collapsed="false">
      <c r="A193" s="18" t="n">
        <v>192</v>
      </c>
      <c r="B193" s="18" t="n">
        <f aca="false">ROUNDUP(A193/12,0)</f>
        <v>16</v>
      </c>
      <c r="C193" s="17" t="n">
        <f aca="false">Předpoklady!$B$4</f>
        <v>4000</v>
      </c>
      <c r="D193" s="19" t="n">
        <f aca="false">(F192+C193)*(1+Předpoklady!$B$12)</f>
        <v>1327733.46420673</v>
      </c>
      <c r="E193" s="13" t="n">
        <f aca="false">INDEX(Předpoklady!$C$18:$C$21,MATCH(D193,Předpoklady!$A$18:$A$21,1))</f>
        <v>0.0036</v>
      </c>
      <c r="F193" s="19" t="n">
        <f aca="false">D193*(1-E193/12)</f>
        <v>1327335.14416747</v>
      </c>
      <c r="G193" s="19" t="n">
        <f aca="false">(G192+C193)*(1+Předpoklady!$B$12)*(1-Předpoklady!$B$9/12)</f>
        <v>1350124.04843042</v>
      </c>
      <c r="H193" s="19" t="n">
        <f aca="false">IF(AND(A193&gt;12,MOD(A193,12)=Předpoklady!$B$8),Předpoklady!$B$14,0)</f>
        <v>0</v>
      </c>
      <c r="I193" s="19" t="n">
        <f aca="false">I192+H193</f>
        <v>108000</v>
      </c>
      <c r="J193" s="19" t="n">
        <f aca="false">J192*(1+Předpoklady!$B$12)*(1-Předpoklady!$B$9/12)+H193</f>
        <v>184299.422614351</v>
      </c>
      <c r="K193" s="19" t="n">
        <f aca="false">K192+D193*E193/12</f>
        <v>41109.7291629077</v>
      </c>
      <c r="L193" s="19" t="n">
        <f aca="false">L192+((G192+C193)+J192)*(1+Předpoklady!$B$12)*Předpoklady!$B$9/12</f>
        <v>30639.4205436467</v>
      </c>
      <c r="M193" s="19" t="n">
        <f aca="false">(O192+C193)*(1+Předpoklady!$B$12)</f>
        <v>1317747.3211061</v>
      </c>
      <c r="N193" s="13" t="n">
        <f aca="false">INDEX(Předpoklady!$D$18:$D$21,MATCH(M193,Předpoklady!$A$18:$A$21,1))</f>
        <v>0.0042</v>
      </c>
      <c r="O193" s="19" t="n">
        <f aca="false">M193*(1-N193/12)</f>
        <v>1317286.10954372</v>
      </c>
      <c r="P193" s="19" t="n">
        <f aca="false">P192+M193*N193/12</f>
        <v>47825.1152810118</v>
      </c>
    </row>
    <row r="194" customFormat="false" ht="15" hidden="false" customHeight="false" outlineLevel="0" collapsed="false">
      <c r="A194" s="18" t="n">
        <v>193</v>
      </c>
      <c r="B194" s="18" t="n">
        <f aca="false">ROUNDUP(A194/12,0)</f>
        <v>17</v>
      </c>
      <c r="C194" s="17" t="n">
        <f aca="false">Předpoklady!$B$4</f>
        <v>4000</v>
      </c>
      <c r="D194" s="19" t="n">
        <f aca="false">(F193+C194)*(1+Předpoklady!$B$12)</f>
        <v>1338862.70663195</v>
      </c>
      <c r="E194" s="13" t="n">
        <f aca="false">INDEX(Předpoklady!$C$18:$C$21,MATCH(D194,Předpoklady!$A$18:$A$21,1))</f>
        <v>0.0036</v>
      </c>
      <c r="F194" s="19" t="n">
        <f aca="false">D194*(1-E194/12)</f>
        <v>1338461.04781996</v>
      </c>
      <c r="G194" s="19" t="n">
        <f aca="false">(G193+C194)*(1+Předpoklady!$B$12)*(1-Předpoklady!$B$9/12)</f>
        <v>1361440.01755716</v>
      </c>
      <c r="H194" s="19" t="n">
        <f aca="false">IF(AND(A194&gt;12,MOD(A194,12)=Předpoklady!$B$8),Předpoklady!$B$14,0)</f>
        <v>0</v>
      </c>
      <c r="I194" s="19" t="n">
        <f aca="false">I193+H194</f>
        <v>108000</v>
      </c>
      <c r="J194" s="19" t="n">
        <f aca="false">J193*(1+Předpoklady!$B$12)*(1-Předpoklady!$B$9/12)+H194</f>
        <v>185295.142975041</v>
      </c>
      <c r="K194" s="19" t="n">
        <f aca="false">K193+D194*E194/12</f>
        <v>41511.3879748973</v>
      </c>
      <c r="L194" s="19" t="n">
        <f aca="false">L193+((G193+C194)+J193)*(1+Předpoklady!$B$12)*Předpoklady!$B$9/12</f>
        <v>31026.2010289011</v>
      </c>
      <c r="M194" s="19" t="n">
        <f aca="false">(O193+C194)*(1+Předpoklady!$B$12)</f>
        <v>1328756.85330543</v>
      </c>
      <c r="N194" s="13" t="n">
        <f aca="false">INDEX(Předpoklady!$D$18:$D$21,MATCH(M194,Předpoklady!$A$18:$A$21,1))</f>
        <v>0.0042</v>
      </c>
      <c r="O194" s="19" t="n">
        <f aca="false">M194*(1-N194/12)</f>
        <v>1328291.78840678</v>
      </c>
      <c r="P194" s="19" t="n">
        <f aca="false">P193+M194*N194/12</f>
        <v>48290.1801796687</v>
      </c>
    </row>
    <row r="195" customFormat="false" ht="15" hidden="false" customHeight="false" outlineLevel="0" collapsed="false">
      <c r="A195" s="18" t="n">
        <v>194</v>
      </c>
      <c r="B195" s="18" t="n">
        <f aca="false">ROUNDUP(A195/12,0)</f>
        <v>17</v>
      </c>
      <c r="C195" s="17" t="n">
        <f aca="false">Předpoklady!$B$4</f>
        <v>4000</v>
      </c>
      <c r="D195" s="19" t="n">
        <f aca="false">(F194+C195)*(1+Předpoklady!$B$12)</f>
        <v>1350051.51776126</v>
      </c>
      <c r="E195" s="13" t="n">
        <f aca="false">INDEX(Předpoklady!$C$18:$C$21,MATCH(D195,Předpoklady!$A$18:$A$21,1))</f>
        <v>0.0036</v>
      </c>
      <c r="F195" s="19" t="n">
        <f aca="false">D195*(1-E195/12)</f>
        <v>1349646.50230594</v>
      </c>
      <c r="G195" s="19" t="n">
        <f aca="false">(G194+C195)*(1+Předpoklady!$B$12)*(1-Předpoklady!$B$9/12)</f>
        <v>1372817.12383073</v>
      </c>
      <c r="H195" s="19" t="n">
        <f aca="false">IF(AND(A195&gt;12,MOD(A195,12)=Předpoklady!$B$8),Předpoklady!$B$14,0)</f>
        <v>0</v>
      </c>
      <c r="I195" s="19" t="n">
        <f aca="false">I194+H195</f>
        <v>108000</v>
      </c>
      <c r="J195" s="19" t="n">
        <f aca="false">J194*(1+Předpoklady!$B$12)*(1-Předpoklady!$B$9/12)+H195</f>
        <v>186296.242945839</v>
      </c>
      <c r="K195" s="19" t="n">
        <f aca="false">K194+D195*E195/12</f>
        <v>41916.4034302257</v>
      </c>
      <c r="L195" s="19" t="n">
        <f aca="false">L194+((G194+C195)+J194)*(1+Předpoklady!$B$12)*Předpoklady!$B$9/12</f>
        <v>31416.0768395479</v>
      </c>
      <c r="M195" s="19" t="n">
        <f aca="false">(O194+C195)*(1+Předpoklady!$B$12)</f>
        <v>1339824.75987688</v>
      </c>
      <c r="N195" s="13" t="n">
        <f aca="false">INDEX(Předpoklady!$D$18:$D$21,MATCH(M195,Předpoklady!$A$18:$A$21,1))</f>
        <v>0.0042</v>
      </c>
      <c r="O195" s="19" t="n">
        <f aca="false">M195*(1-N195/12)</f>
        <v>1339355.82121092</v>
      </c>
      <c r="P195" s="19" t="n">
        <f aca="false">P194+M195*N195/12</f>
        <v>48759.1188456256</v>
      </c>
    </row>
    <row r="196" customFormat="false" ht="15" hidden="false" customHeight="false" outlineLevel="0" collapsed="false">
      <c r="A196" s="18" t="n">
        <v>195</v>
      </c>
      <c r="B196" s="18" t="n">
        <f aca="false">ROUNDUP(A196/12,0)</f>
        <v>17</v>
      </c>
      <c r="C196" s="17" t="n">
        <f aca="false">Předpoklady!$B$4</f>
        <v>4000</v>
      </c>
      <c r="D196" s="19" t="n">
        <f aca="false">(F195+C196)*(1+Předpoklady!$B$12)</f>
        <v>1361300.21643313</v>
      </c>
      <c r="E196" s="13" t="n">
        <f aca="false">INDEX(Předpoklady!$C$18:$C$21,MATCH(D196,Předpoklady!$A$18:$A$21,1))</f>
        <v>0.0036</v>
      </c>
      <c r="F196" s="19" t="n">
        <f aca="false">D196*(1-E196/12)</f>
        <v>1360891.8263682</v>
      </c>
      <c r="G196" s="19" t="n">
        <f aca="false">(G195+C196)*(1+Předpoklady!$B$12)*(1-Předpoklady!$B$9/12)</f>
        <v>1384255.69755873</v>
      </c>
      <c r="H196" s="19" t="n">
        <f aca="false">IF(AND(A196&gt;12,MOD(A196,12)=Předpoklady!$B$8),Předpoklady!$B$14,0)</f>
        <v>0</v>
      </c>
      <c r="I196" s="19" t="n">
        <f aca="false">I195+H196</f>
        <v>108000</v>
      </c>
      <c r="J196" s="19" t="n">
        <f aca="false">J195*(1+Předpoklady!$B$12)*(1-Předpoklady!$B$9/12)+H196</f>
        <v>187302.751591335</v>
      </c>
      <c r="K196" s="19" t="n">
        <f aca="false">K195+D196*E196/12</f>
        <v>42324.7934951556</v>
      </c>
      <c r="L196" s="19" t="n">
        <f aca="false">L195+((G195+C196)+J195)*(1+Předpoklady!$B$12)*Předpoklady!$B$9/12</f>
        <v>31809.0646988002</v>
      </c>
      <c r="M196" s="19" t="n">
        <f aca="false">(O195+C196)*(1+Předpoklady!$B$12)</f>
        <v>1350951.35033106</v>
      </c>
      <c r="N196" s="13" t="n">
        <f aca="false">INDEX(Předpoklady!$D$18:$D$21,MATCH(M196,Předpoklady!$A$18:$A$21,1))</f>
        <v>0.0042</v>
      </c>
      <c r="O196" s="19" t="n">
        <f aca="false">M196*(1-N196/12)</f>
        <v>1350478.51735845</v>
      </c>
      <c r="P196" s="19" t="n">
        <f aca="false">P195+M196*N196/12</f>
        <v>49231.9518182415</v>
      </c>
    </row>
    <row r="197" customFormat="false" ht="15" hidden="false" customHeight="false" outlineLevel="0" collapsed="false">
      <c r="A197" s="18" t="n">
        <v>196</v>
      </c>
      <c r="B197" s="18" t="n">
        <f aca="false">ROUNDUP(A197/12,0)</f>
        <v>17</v>
      </c>
      <c r="C197" s="17" t="n">
        <f aca="false">Předpoklady!$B$4</f>
        <v>4000</v>
      </c>
      <c r="D197" s="19" t="n">
        <f aca="false">(F196+C197)*(1+Předpoklady!$B$12)</f>
        <v>1372609.12319256</v>
      </c>
      <c r="E197" s="13" t="n">
        <f aca="false">INDEX(Předpoklady!$C$18:$C$21,MATCH(D197,Předpoklady!$A$18:$A$21,1))</f>
        <v>0.0036</v>
      </c>
      <c r="F197" s="19" t="n">
        <f aca="false">D197*(1-E197/12)</f>
        <v>1372197.34045561</v>
      </c>
      <c r="G197" s="19" t="n">
        <f aca="false">(G196+C197)*(1+Předpoklady!$B$12)*(1-Předpoklady!$B$9/12)</f>
        <v>1395756.07083334</v>
      </c>
      <c r="H197" s="19" t="n">
        <f aca="false">IF(AND(A197&gt;12,MOD(A197,12)=Předpoklady!$B$8),Předpoklady!$B$14,0)</f>
        <v>7200</v>
      </c>
      <c r="I197" s="19" t="n">
        <f aca="false">I196+H197</f>
        <v>115200</v>
      </c>
      <c r="J197" s="19" t="n">
        <f aca="false">J196*(1+Předpoklady!$B$12)*(1-Předpoklady!$B$9/12)+H197</f>
        <v>195514.698133148</v>
      </c>
      <c r="K197" s="19" t="n">
        <f aca="false">K196+D197*E197/12</f>
        <v>42736.5762321134</v>
      </c>
      <c r="L197" s="19" t="n">
        <f aca="false">L196+((G196+C197)+J196)*(1+Předpoklady!$B$12)*Předpoklady!$B$9/12</f>
        <v>32205.1814202222</v>
      </c>
      <c r="M197" s="19" t="n">
        <f aca="false">(O196+C197)*(1+Předpoklady!$B$12)</f>
        <v>1362136.93581971</v>
      </c>
      <c r="N197" s="13" t="n">
        <f aca="false">INDEX(Předpoklady!$D$18:$D$21,MATCH(M197,Předpoklady!$A$18:$A$21,1))</f>
        <v>0.0042</v>
      </c>
      <c r="O197" s="19" t="n">
        <f aca="false">M197*(1-N197/12)</f>
        <v>1361660.18789217</v>
      </c>
      <c r="P197" s="19" t="n">
        <f aca="false">P196+M197*N197/12</f>
        <v>49708.6997457784</v>
      </c>
    </row>
    <row r="198" customFormat="false" ht="15" hidden="false" customHeight="false" outlineLevel="0" collapsed="false">
      <c r="A198" s="18" t="n">
        <v>197</v>
      </c>
      <c r="B198" s="18" t="n">
        <f aca="false">ROUNDUP(A198/12,0)</f>
        <v>17</v>
      </c>
      <c r="C198" s="17" t="n">
        <f aca="false">Předpoklady!$B$4</f>
        <v>4000</v>
      </c>
      <c r="D198" s="19" t="n">
        <f aca="false">(F197+C198)*(1+Předpoklady!$B$12)</f>
        <v>1383978.5603003</v>
      </c>
      <c r="E198" s="13" t="n">
        <f aca="false">INDEX(Předpoklady!$C$18:$C$21,MATCH(D198,Předpoklady!$A$18:$A$21,1))</f>
        <v>0.0036</v>
      </c>
      <c r="F198" s="19" t="n">
        <f aca="false">D198*(1-E198/12)</f>
        <v>1383563.36673221</v>
      </c>
      <c r="G198" s="19" t="n">
        <f aca="false">(G197+C198)*(1+Předpoklady!$B$12)*(1-Předpoklady!$B$9/12)</f>
        <v>1407318.57754095</v>
      </c>
      <c r="H198" s="19" t="n">
        <f aca="false">IF(AND(A198&gt;12,MOD(A198,12)=Předpoklady!$B$8),Předpoklady!$B$14,0)</f>
        <v>0</v>
      </c>
      <c r="I198" s="19" t="n">
        <f aca="false">I197+H198</f>
        <v>115200</v>
      </c>
      <c r="J198" s="19" t="n">
        <f aca="false">J197*(1+Předpoklady!$B$12)*(1-Předpoklady!$B$9/12)+H198</f>
        <v>196571.011620102</v>
      </c>
      <c r="K198" s="19" t="n">
        <f aca="false">K197+D198*E198/12</f>
        <v>43151.7698002035</v>
      </c>
      <c r="L198" s="19" t="n">
        <f aca="false">L197+((G197+C198)+J197)*(1+Předpoklady!$B$12)*Předpoklady!$B$9/12</f>
        <v>32606.2540856788</v>
      </c>
      <c r="M198" s="19" t="n">
        <f aca="false">(O197+C198)*(1+Předpoklady!$B$12)</f>
        <v>1373381.82914431</v>
      </c>
      <c r="N198" s="13" t="n">
        <f aca="false">INDEX(Předpoklady!$D$18:$D$21,MATCH(M198,Předpoklady!$A$18:$A$21,1))</f>
        <v>0.0042</v>
      </c>
      <c r="O198" s="19" t="n">
        <f aca="false">M198*(1-N198/12)</f>
        <v>1372901.14550411</v>
      </c>
      <c r="P198" s="19" t="n">
        <f aca="false">P197+M198*N198/12</f>
        <v>50189.3833859789</v>
      </c>
    </row>
    <row r="199" customFormat="false" ht="15" hidden="false" customHeight="false" outlineLevel="0" collapsed="false">
      <c r="A199" s="18" t="n">
        <v>198</v>
      </c>
      <c r="B199" s="18" t="n">
        <f aca="false">ROUNDUP(A199/12,0)</f>
        <v>17</v>
      </c>
      <c r="C199" s="17" t="n">
        <f aca="false">Předpoklady!$B$4</f>
        <v>4000</v>
      </c>
      <c r="D199" s="19" t="n">
        <f aca="false">(F198+C199)*(1+Předpoklady!$B$12)</f>
        <v>1395408.85174195</v>
      </c>
      <c r="E199" s="13" t="n">
        <f aca="false">INDEX(Předpoklady!$C$18:$C$21,MATCH(D199,Předpoklady!$A$18:$A$21,1))</f>
        <v>0.0036</v>
      </c>
      <c r="F199" s="19" t="n">
        <f aca="false">D199*(1-E199/12)</f>
        <v>1394990.22908643</v>
      </c>
      <c r="G199" s="19" t="n">
        <f aca="false">(G198+C199)*(1+Předpoklady!$B$12)*(1-Předpoklady!$B$9/12)</f>
        <v>1418943.55337182</v>
      </c>
      <c r="H199" s="19" t="n">
        <f aca="false">IF(AND(A199&gt;12,MOD(A199,12)=Předpoklady!$B$8),Předpoklady!$B$14,0)</f>
        <v>0</v>
      </c>
      <c r="I199" s="19" t="n">
        <f aca="false">I198+H199</f>
        <v>115200</v>
      </c>
      <c r="J199" s="19" t="n">
        <f aca="false">J198*(1+Předpoklady!$B$12)*(1-Předpoklady!$B$9/12)+H199</f>
        <v>197633.032085577</v>
      </c>
      <c r="K199" s="19" t="n">
        <f aca="false">K198+D199*E199/12</f>
        <v>43570.392455726</v>
      </c>
      <c r="L199" s="19" t="n">
        <f aca="false">L198+((G198+C199)+J198)*(1+Předpoklady!$B$12)*Předpoklady!$B$9/12</f>
        <v>33010.4992933451</v>
      </c>
      <c r="M199" s="19" t="n">
        <f aca="false">(O198+C199)*(1+Předpoklady!$B$12)</f>
        <v>1384686.34476487</v>
      </c>
      <c r="N199" s="13" t="n">
        <f aca="false">INDEX(Předpoklady!$D$18:$D$21,MATCH(M199,Předpoklady!$A$18:$A$21,1))</f>
        <v>0.0042</v>
      </c>
      <c r="O199" s="19" t="n">
        <f aca="false">M199*(1-N199/12)</f>
        <v>1384201.7045442</v>
      </c>
      <c r="P199" s="19" t="n">
        <f aca="false">P198+M199*N199/12</f>
        <v>50674.0236066466</v>
      </c>
    </row>
    <row r="200" customFormat="false" ht="15" hidden="false" customHeight="false" outlineLevel="0" collapsed="false">
      <c r="A200" s="18" t="n">
        <v>199</v>
      </c>
      <c r="B200" s="18" t="n">
        <f aca="false">ROUNDUP(A200/12,0)</f>
        <v>17</v>
      </c>
      <c r="C200" s="17" t="n">
        <f aca="false">Předpoklady!$B$4</f>
        <v>4000</v>
      </c>
      <c r="D200" s="19" t="n">
        <f aca="false">(F199+C200)*(1+Předpoklady!$B$12)</f>
        <v>1406900.32323725</v>
      </c>
      <c r="E200" s="13" t="n">
        <f aca="false">INDEX(Předpoklady!$C$18:$C$21,MATCH(D200,Předpoklady!$A$18:$A$21,1))</f>
        <v>0.0036</v>
      </c>
      <c r="F200" s="19" t="n">
        <f aca="false">D200*(1-E200/12)</f>
        <v>1406478.25314027</v>
      </c>
      <c r="G200" s="19" t="n">
        <f aca="false">(G199+C200)*(1+Předpoklady!$B$12)*(1-Předpoklady!$B$9/12)</f>
        <v>1430631.33582988</v>
      </c>
      <c r="H200" s="19" t="n">
        <f aca="false">IF(AND(A200&gt;12,MOD(A200,12)=Předpoklady!$B$8),Předpoklady!$B$14,0)</f>
        <v>0</v>
      </c>
      <c r="I200" s="19" t="n">
        <f aca="false">I199+H200</f>
        <v>115200</v>
      </c>
      <c r="J200" s="19" t="n">
        <f aca="false">J199*(1+Předpoklady!$B$12)*(1-Předpoklady!$B$9/12)+H200</f>
        <v>198700.790362847</v>
      </c>
      <c r="K200" s="19" t="n">
        <f aca="false">K199+D200*E200/12</f>
        <v>43992.4625526972</v>
      </c>
      <c r="L200" s="19" t="n">
        <f aca="false">L199+((G199+C200)+J199)*(1+Předpoklady!$B$12)*Předpoklady!$B$9/12</f>
        <v>33417.9341836158</v>
      </c>
      <c r="M200" s="19" t="n">
        <f aca="false">(O199+C200)*(1+Předpoklady!$B$12)</f>
        <v>1396050.79880874</v>
      </c>
      <c r="N200" s="13" t="n">
        <f aca="false">INDEX(Předpoklady!$D$18:$D$21,MATCH(M200,Předpoklady!$A$18:$A$21,1))</f>
        <v>0.0042</v>
      </c>
      <c r="O200" s="19" t="n">
        <f aca="false">M200*(1-N200/12)</f>
        <v>1395562.18102916</v>
      </c>
      <c r="P200" s="19" t="n">
        <f aca="false">P199+M200*N200/12</f>
        <v>51162.6413862297</v>
      </c>
    </row>
    <row r="201" customFormat="false" ht="15" hidden="false" customHeight="false" outlineLevel="0" collapsed="false">
      <c r="A201" s="18" t="n">
        <v>200</v>
      </c>
      <c r="B201" s="18" t="n">
        <f aca="false">ROUNDUP(A201/12,0)</f>
        <v>17</v>
      </c>
      <c r="C201" s="17" t="n">
        <f aca="false">Předpoklady!$B$4</f>
        <v>4000</v>
      </c>
      <c r="D201" s="19" t="n">
        <f aca="false">(F200+C201)*(1+Předpoklady!$B$12)</f>
        <v>1418453.3022493</v>
      </c>
      <c r="E201" s="13" t="n">
        <f aca="false">INDEX(Předpoklady!$C$18:$C$21,MATCH(D201,Předpoklady!$A$18:$A$21,1))</f>
        <v>0.0036</v>
      </c>
      <c r="F201" s="19" t="n">
        <f aca="false">D201*(1-E201/12)</f>
        <v>1418027.76625863</v>
      </c>
      <c r="G201" s="19" t="n">
        <f aca="false">(G200+C201)*(1+Předpoklady!$B$12)*(1-Předpoklady!$B$9/12)</f>
        <v>1442382.26424249</v>
      </c>
      <c r="H201" s="19" t="n">
        <f aca="false">IF(AND(A201&gt;12,MOD(A201,12)=Předpoklady!$B$8),Předpoklady!$B$14,0)</f>
        <v>0</v>
      </c>
      <c r="I201" s="19" t="n">
        <f aca="false">I200+H201</f>
        <v>115200</v>
      </c>
      <c r="J201" s="19" t="n">
        <f aca="false">J200*(1+Předpoklady!$B$12)*(1-Předpoklady!$B$9/12)+H201</f>
        <v>199774.317451771</v>
      </c>
      <c r="K201" s="19" t="n">
        <f aca="false">K200+D201*E201/12</f>
        <v>44417.998543372</v>
      </c>
      <c r="L201" s="19" t="n">
        <f aca="false">L200+((G200+C201)+J200)*(1+Předpoklady!$B$12)*Předpoklady!$B$9/12</f>
        <v>33828.5759894909</v>
      </c>
      <c r="M201" s="19" t="n">
        <f aca="false">(O200+C201)*(1+Předpoklady!$B$12)</f>
        <v>1407475.50907941</v>
      </c>
      <c r="N201" s="13" t="n">
        <f aca="false">INDEX(Předpoklady!$D$18:$D$21,MATCH(M201,Předpoklady!$A$18:$A$21,1))</f>
        <v>0.0042</v>
      </c>
      <c r="O201" s="19" t="n">
        <f aca="false">M201*(1-N201/12)</f>
        <v>1406982.89265123</v>
      </c>
      <c r="P201" s="19" t="n">
        <f aca="false">P200+M201*N201/12</f>
        <v>51655.2578144075</v>
      </c>
    </row>
    <row r="202" customFormat="false" ht="15" hidden="false" customHeight="false" outlineLevel="0" collapsed="false">
      <c r="A202" s="18" t="n">
        <v>201</v>
      </c>
      <c r="B202" s="18" t="n">
        <f aca="false">ROUNDUP(A202/12,0)</f>
        <v>17</v>
      </c>
      <c r="C202" s="17" t="n">
        <f aca="false">Předpoklady!$B$4</f>
        <v>4000</v>
      </c>
      <c r="D202" s="19" t="n">
        <f aca="false">(F201+C202)*(1+Předpoklady!$B$12)</f>
        <v>1430068.11799398</v>
      </c>
      <c r="E202" s="13" t="n">
        <f aca="false">INDEX(Předpoklady!$C$18:$C$21,MATCH(D202,Předpoklady!$A$18:$A$21,1))</f>
        <v>0.0036</v>
      </c>
      <c r="F202" s="19" t="n">
        <f aca="false">D202*(1-E202/12)</f>
        <v>1429639.09755858</v>
      </c>
      <c r="G202" s="19" t="n">
        <f aca="false">(G201+C202)*(1+Předpoklady!$B$12)*(1-Předpoklady!$B$9/12)</f>
        <v>1454196.67977032</v>
      </c>
      <c r="H202" s="19" t="n">
        <f aca="false">IF(AND(A202&gt;12,MOD(A202,12)=Předpoklady!$B$8),Předpoklady!$B$14,0)</f>
        <v>0</v>
      </c>
      <c r="I202" s="19" t="n">
        <f aca="false">I201+H202</f>
        <v>115200</v>
      </c>
      <c r="J202" s="19" t="n">
        <f aca="false">J201*(1+Předpoklady!$B$12)*(1-Předpoklady!$B$9/12)+H202</f>
        <v>200853.644519691</v>
      </c>
      <c r="K202" s="19" t="n">
        <f aca="false">K201+D202*E202/12</f>
        <v>44847.0189787702</v>
      </c>
      <c r="L202" s="19" t="n">
        <f aca="false">L201+((G201+C202)+J201)*(1+Předpoklady!$B$12)*Předpoklady!$B$9/12</f>
        <v>34242.4420370753</v>
      </c>
      <c r="M202" s="19" t="n">
        <f aca="false">(O201+C202)*(1+Předpoklady!$B$12)</f>
        <v>1418960.79506542</v>
      </c>
      <c r="N202" s="13" t="n">
        <f aca="false">INDEX(Předpoklady!$D$18:$D$21,MATCH(M202,Předpoklady!$A$18:$A$21,1))</f>
        <v>0.0042</v>
      </c>
      <c r="O202" s="19" t="n">
        <f aca="false">M202*(1-N202/12)</f>
        <v>1418464.15878715</v>
      </c>
      <c r="P202" s="19" t="n">
        <f aca="false">P201+M202*N202/12</f>
        <v>52151.8940926804</v>
      </c>
    </row>
    <row r="203" customFormat="false" ht="15" hidden="false" customHeight="false" outlineLevel="0" collapsed="false">
      <c r="A203" s="18" t="n">
        <v>202</v>
      </c>
      <c r="B203" s="18" t="n">
        <f aca="false">ROUNDUP(A203/12,0)</f>
        <v>17</v>
      </c>
      <c r="C203" s="17" t="n">
        <f aca="false">Předpoklady!$B$4</f>
        <v>4000</v>
      </c>
      <c r="D203" s="19" t="n">
        <f aca="false">(F202+C203)*(1+Předpoklady!$B$12)</f>
        <v>1441745.10144925</v>
      </c>
      <c r="E203" s="13" t="n">
        <f aca="false">INDEX(Předpoklady!$C$18:$C$21,MATCH(D203,Předpoklady!$A$18:$A$21,1))</f>
        <v>0.0036</v>
      </c>
      <c r="F203" s="19" t="n">
        <f aca="false">D203*(1-E203/12)</f>
        <v>1441312.57791881</v>
      </c>
      <c r="G203" s="19" t="n">
        <f aca="false">(G202+C203)*(1+Předpoklady!$B$12)*(1-Předpoklady!$B$9/12)</f>
        <v>1466074.92541722</v>
      </c>
      <c r="H203" s="19" t="n">
        <f aca="false">IF(AND(A203&gt;12,MOD(A203,12)=Předpoklady!$B$8),Předpoklady!$B$14,0)</f>
        <v>0</v>
      </c>
      <c r="I203" s="19" t="n">
        <f aca="false">I202+H203</f>
        <v>115200</v>
      </c>
      <c r="J203" s="19" t="n">
        <f aca="false">J202*(1+Předpoklady!$B$12)*(1-Předpoklady!$B$9/12)+H203</f>
        <v>201938.802902339</v>
      </c>
      <c r="K203" s="19" t="n">
        <f aca="false">K202+D203*E203/12</f>
        <v>45279.542509205</v>
      </c>
      <c r="L203" s="19" t="n">
        <f aca="false">L202+((G202+C203)+J202)*(1+Předpoklady!$B$12)*Předpoklady!$B$9/12</f>
        <v>34659.5497460824</v>
      </c>
      <c r="M203" s="19" t="n">
        <f aca="false">(O202+C203)*(1+Předpoklady!$B$12)</f>
        <v>1430506.97794931</v>
      </c>
      <c r="N203" s="13" t="n">
        <f aca="false">INDEX(Předpoklady!$D$18:$D$21,MATCH(M203,Předpoklady!$A$18:$A$21,1))</f>
        <v>0.0042</v>
      </c>
      <c r="O203" s="19" t="n">
        <f aca="false">M203*(1-N203/12)</f>
        <v>1430006.30050702</v>
      </c>
      <c r="P203" s="19" t="n">
        <f aca="false">P202+M203*N203/12</f>
        <v>52652.5715349626</v>
      </c>
    </row>
    <row r="204" customFormat="false" ht="15" hidden="false" customHeight="false" outlineLevel="0" collapsed="false">
      <c r="A204" s="18" t="n">
        <v>203</v>
      </c>
      <c r="B204" s="18" t="n">
        <f aca="false">ROUNDUP(A204/12,0)</f>
        <v>17</v>
      </c>
      <c r="C204" s="17" t="n">
        <f aca="false">Předpoklady!$B$4</f>
        <v>4000</v>
      </c>
      <c r="D204" s="19" t="n">
        <f aca="false">(F203+C204)*(1+Předpoklady!$B$12)</f>
        <v>1453484.58536461</v>
      </c>
      <c r="E204" s="13" t="n">
        <f aca="false">INDEX(Předpoklady!$C$18:$C$21,MATCH(D204,Předpoklady!$A$18:$A$21,1))</f>
        <v>0.0036</v>
      </c>
      <c r="F204" s="19" t="n">
        <f aca="false">D204*(1-E204/12)</f>
        <v>1453048.539989</v>
      </c>
      <c r="G204" s="19" t="n">
        <f aca="false">(G203+C204)*(1+Předpoklady!$B$12)*(1-Předpoklady!$B$9/12)</f>
        <v>1478017.34604022</v>
      </c>
      <c r="H204" s="19" t="n">
        <f aca="false">IF(AND(A204&gt;12,MOD(A204,12)=Předpoklady!$B$8),Předpoklady!$B$14,0)</f>
        <v>0</v>
      </c>
      <c r="I204" s="19" t="n">
        <f aca="false">I203+H204</f>
        <v>115200</v>
      </c>
      <c r="J204" s="19" t="n">
        <f aca="false">J203*(1+Předpoklady!$B$12)*(1-Předpoklady!$B$9/12)+H204</f>
        <v>203029.824104744</v>
      </c>
      <c r="K204" s="19" t="n">
        <f aca="false">K203+D204*E204/12</f>
        <v>45715.5878848144</v>
      </c>
      <c r="L204" s="19" t="n">
        <f aca="false">L203+((G203+C204)+J203)*(1+Předpoklady!$B$12)*Předpoklady!$B$9/12</f>
        <v>35079.9166303397</v>
      </c>
      <c r="M204" s="19" t="n">
        <f aca="false">(O203+C204)*(1+Předpoklady!$B$12)</f>
        <v>1442114.38061655</v>
      </c>
      <c r="N204" s="13" t="n">
        <f aca="false">INDEX(Předpoklady!$D$18:$D$21,MATCH(M204,Předpoklady!$A$18:$A$21,1))</f>
        <v>0.0042</v>
      </c>
      <c r="O204" s="19" t="n">
        <f aca="false">M204*(1-N204/12)</f>
        <v>1441609.64058333</v>
      </c>
      <c r="P204" s="19" t="n">
        <f aca="false">P203+M204*N204/12</f>
        <v>53157.3115681784</v>
      </c>
    </row>
    <row r="205" customFormat="false" ht="15" hidden="false" customHeight="false" outlineLevel="0" collapsed="false">
      <c r="A205" s="18" t="n">
        <v>204</v>
      </c>
      <c r="B205" s="18" t="n">
        <f aca="false">ROUNDUP(A205/12,0)</f>
        <v>17</v>
      </c>
      <c r="C205" s="17" t="n">
        <f aca="false">Předpoklady!$B$4</f>
        <v>4000</v>
      </c>
      <c r="D205" s="19" t="n">
        <f aca="false">(F204+C205)*(1+Předpoklady!$B$12)</f>
        <v>1465286.90427061</v>
      </c>
      <c r="E205" s="13" t="n">
        <f aca="false">INDEX(Předpoklady!$C$18:$C$21,MATCH(D205,Předpoklady!$A$18:$A$21,1))</f>
        <v>0.0036</v>
      </c>
      <c r="F205" s="19" t="n">
        <f aca="false">D205*(1-E205/12)</f>
        <v>1464847.31819933</v>
      </c>
      <c r="G205" s="19" t="n">
        <f aca="false">(G204+C205)*(1+Předpoklady!$B$12)*(1-Předpoklady!$B$9/12)</f>
        <v>1490024.28835949</v>
      </c>
      <c r="H205" s="19" t="n">
        <f aca="false">IF(AND(A205&gt;12,MOD(A205,12)=Předpoklady!$B$8),Předpoklady!$B$14,0)</f>
        <v>0</v>
      </c>
      <c r="I205" s="19" t="n">
        <f aca="false">I204+H205</f>
        <v>115200</v>
      </c>
      <c r="J205" s="19" t="n">
        <f aca="false">J204*(1+Předpoklady!$B$12)*(1-Předpoklady!$B$9/12)+H205</f>
        <v>204126.73980215</v>
      </c>
      <c r="K205" s="19" t="n">
        <f aca="false">K204+D205*E205/12</f>
        <v>46155.1739560956</v>
      </c>
      <c r="L205" s="19" t="n">
        <f aca="false">L204+((G204+C205)+J204)*(1+Předpoklady!$B$12)*Předpoklady!$B$9/12</f>
        <v>35503.5602982971</v>
      </c>
      <c r="M205" s="19" t="n">
        <f aca="false">(O204+C205)*(1+Předpoklady!$B$12)</f>
        <v>1453783.32766462</v>
      </c>
      <c r="N205" s="13" t="n">
        <f aca="false">INDEX(Předpoklady!$D$18:$D$21,MATCH(M205,Předpoklady!$A$18:$A$21,1))</f>
        <v>0.0042</v>
      </c>
      <c r="O205" s="19" t="n">
        <f aca="false">M205*(1-N205/12)</f>
        <v>1453274.50349994</v>
      </c>
      <c r="P205" s="19" t="n">
        <f aca="false">P204+M205*N205/12</f>
        <v>53666.135732861</v>
      </c>
    </row>
    <row r="206" customFormat="false" ht="15" hidden="false" customHeight="false" outlineLevel="0" collapsed="false">
      <c r="A206" s="18" t="n">
        <v>205</v>
      </c>
      <c r="B206" s="18" t="n">
        <f aca="false">ROUNDUP(A206/12,0)</f>
        <v>18</v>
      </c>
      <c r="C206" s="17" t="n">
        <f aca="false">Předpoklady!$B$4</f>
        <v>4000</v>
      </c>
      <c r="D206" s="19" t="n">
        <f aca="false">(F205+C206)*(1+Předpoklady!$B$12)</f>
        <v>1477152.39448832</v>
      </c>
      <c r="E206" s="13" t="n">
        <f aca="false">INDEX(Předpoklady!$C$18:$C$21,MATCH(D206,Předpoklady!$A$18:$A$21,1))</f>
        <v>0.0036</v>
      </c>
      <c r="F206" s="19" t="n">
        <f aca="false">D206*(1-E206/12)</f>
        <v>1476709.24876998</v>
      </c>
      <c r="G206" s="19" t="n">
        <f aca="false">(G205+C206)*(1+Předpoklady!$B$12)*(1-Předpoklady!$B$9/12)</f>
        <v>1502096.10096847</v>
      </c>
      <c r="H206" s="19" t="n">
        <f aca="false">IF(AND(A206&gt;12,MOD(A206,12)=Předpoklady!$B$8),Předpoklady!$B$14,0)</f>
        <v>0</v>
      </c>
      <c r="I206" s="19" t="n">
        <f aca="false">I205+H206</f>
        <v>115200</v>
      </c>
      <c r="J206" s="19" t="n">
        <f aca="false">J205*(1+Předpoklady!$B$12)*(1-Předpoklady!$B$9/12)+H206</f>
        <v>205229.581840931</v>
      </c>
      <c r="K206" s="19" t="n">
        <f aca="false">K205+D206*E206/12</f>
        <v>46598.319674442</v>
      </c>
      <c r="L206" s="19" t="n">
        <f aca="false">L205+((G205+C206)+J205)*(1+Předpoklady!$B$12)*Předpoklady!$B$9/12</f>
        <v>35930.4984535383</v>
      </c>
      <c r="M206" s="19" t="n">
        <f aca="false">(O205+C206)*(1+Předpoklady!$B$12)</f>
        <v>1465514.14541209</v>
      </c>
      <c r="N206" s="13" t="n">
        <f aca="false">INDEX(Předpoklady!$D$18:$D$21,MATCH(M206,Předpoklady!$A$18:$A$21,1))</f>
        <v>0.0042</v>
      </c>
      <c r="O206" s="19" t="n">
        <f aca="false">M206*(1-N206/12)</f>
        <v>1465001.21546119</v>
      </c>
      <c r="P206" s="19" t="n">
        <f aca="false">P205+M206*N206/12</f>
        <v>54179.0656837553</v>
      </c>
    </row>
    <row r="207" customFormat="false" ht="15" hidden="false" customHeight="false" outlineLevel="0" collapsed="false">
      <c r="A207" s="18" t="n">
        <v>206</v>
      </c>
      <c r="B207" s="18" t="n">
        <f aca="false">ROUNDUP(A207/12,0)</f>
        <v>18</v>
      </c>
      <c r="C207" s="17" t="n">
        <f aca="false">Předpoklady!$B$4</f>
        <v>4000</v>
      </c>
      <c r="D207" s="19" t="n">
        <f aca="false">(F206+C207)*(1+Předpoklady!$B$12)</f>
        <v>1489081.394139</v>
      </c>
      <c r="E207" s="13" t="n">
        <f aca="false">INDEX(Předpoklady!$C$18:$C$21,MATCH(D207,Předpoklady!$A$18:$A$21,1))</f>
        <v>0.0036</v>
      </c>
      <c r="F207" s="19" t="n">
        <f aca="false">D207*(1-E207/12)</f>
        <v>1488634.66972076</v>
      </c>
      <c r="G207" s="19" t="n">
        <f aca="false">(G206+C207)*(1+Předpoklady!$B$12)*(1-Předpoklady!$B$9/12)</f>
        <v>1514233.13434392</v>
      </c>
      <c r="H207" s="19" t="n">
        <f aca="false">IF(AND(A207&gt;12,MOD(A207,12)=Předpoklady!$B$8),Předpoklady!$B$14,0)</f>
        <v>0</v>
      </c>
      <c r="I207" s="19" t="n">
        <f aca="false">I206+H207</f>
        <v>115200</v>
      </c>
      <c r="J207" s="19" t="n">
        <f aca="false">J206*(1+Předpoklady!$B$12)*(1-Předpoklady!$B$9/12)+H207</f>
        <v>206338.382239523</v>
      </c>
      <c r="K207" s="19" t="n">
        <f aca="false">K206+D207*E207/12</f>
        <v>47045.0440926837</v>
      </c>
      <c r="L207" s="19" t="n">
        <f aca="false">L206+((G206+C207)+J206)*(1+Předpoklady!$B$12)*Předpoklady!$B$9/12</f>
        <v>36360.7488952946</v>
      </c>
      <c r="M207" s="19" t="n">
        <f aca="false">(O206+C207)*(1+Předpoklady!$B$12)</f>
        <v>1477307.16190769</v>
      </c>
      <c r="N207" s="13" t="n">
        <f aca="false">INDEX(Předpoklady!$D$18:$D$21,MATCH(M207,Předpoklady!$A$18:$A$21,1))</f>
        <v>0.0042</v>
      </c>
      <c r="O207" s="19" t="n">
        <f aca="false">M207*(1-N207/12)</f>
        <v>1476790.10440102</v>
      </c>
      <c r="P207" s="19" t="n">
        <f aca="false">P206+M207*N207/12</f>
        <v>54696.123190423</v>
      </c>
    </row>
    <row r="208" customFormat="false" ht="15" hidden="false" customHeight="false" outlineLevel="0" collapsed="false">
      <c r="A208" s="18" t="n">
        <v>207</v>
      </c>
      <c r="B208" s="18" t="n">
        <f aca="false">ROUNDUP(A208/12,0)</f>
        <v>18</v>
      </c>
      <c r="C208" s="17" t="n">
        <f aca="false">Předpoklady!$B$4</f>
        <v>4000</v>
      </c>
      <c r="D208" s="19" t="n">
        <f aca="false">(F207+C208)*(1+Předpoklady!$B$12)</f>
        <v>1501074.24315364</v>
      </c>
      <c r="E208" s="13" t="n">
        <f aca="false">INDEX(Předpoklady!$C$18:$C$21,MATCH(D208,Předpoklady!$A$18:$A$21,1))</f>
        <v>0.0036</v>
      </c>
      <c r="F208" s="19" t="n">
        <f aca="false">D208*(1-E208/12)</f>
        <v>1500623.92088069</v>
      </c>
      <c r="G208" s="19" t="n">
        <f aca="false">(G207+C208)*(1+Předpoklady!$B$12)*(1-Předpoklady!$B$9/12)</f>
        <v>1526435.74085618</v>
      </c>
      <c r="H208" s="19" t="n">
        <f aca="false">IF(AND(A208&gt;12,MOD(A208,12)=Předpoklady!$B$8),Předpoklady!$B$14,0)</f>
        <v>0</v>
      </c>
      <c r="I208" s="19" t="n">
        <f aca="false">I207+H208</f>
        <v>115200</v>
      </c>
      <c r="J208" s="19" t="n">
        <f aca="false">J207*(1+Předpoklady!$B$12)*(1-Předpoklady!$B$9/12)+H208</f>
        <v>207453.173189344</v>
      </c>
      <c r="K208" s="19" t="n">
        <f aca="false">K207+D208*E208/12</f>
        <v>47495.3663656298</v>
      </c>
      <c r="L208" s="19" t="n">
        <f aca="false">L207+((G207+C208)+J207)*(1+Předpoklady!$B$12)*Předpoklady!$B$9/12</f>
        <v>36794.3295189618</v>
      </c>
      <c r="M208" s="19" t="n">
        <f aca="false">(O207+C208)*(1+Předpoklady!$B$12)</f>
        <v>1489162.70693953</v>
      </c>
      <c r="N208" s="13" t="n">
        <f aca="false">INDEX(Předpoklady!$D$18:$D$21,MATCH(M208,Předpoklady!$A$18:$A$21,1))</f>
        <v>0.0042</v>
      </c>
      <c r="O208" s="19" t="n">
        <f aca="false">M208*(1-N208/12)</f>
        <v>1488641.4999921</v>
      </c>
      <c r="P208" s="19" t="n">
        <f aca="false">P207+M208*N208/12</f>
        <v>55217.3301378518</v>
      </c>
    </row>
    <row r="209" customFormat="false" ht="15" hidden="false" customHeight="false" outlineLevel="0" collapsed="false">
      <c r="A209" s="18" t="n">
        <v>208</v>
      </c>
      <c r="B209" s="18" t="n">
        <f aca="false">ROUNDUP(A209/12,0)</f>
        <v>18</v>
      </c>
      <c r="C209" s="17" t="n">
        <f aca="false">Předpoklady!$B$4</f>
        <v>4000</v>
      </c>
      <c r="D209" s="19" t="n">
        <f aca="false">(F208+C209)*(1+Předpoklady!$B$12)</f>
        <v>1513131.28328272</v>
      </c>
      <c r="E209" s="13" t="n">
        <f aca="false">INDEX(Předpoklady!$C$18:$C$21,MATCH(D209,Předpoklady!$A$18:$A$21,1))</f>
        <v>0.0036</v>
      </c>
      <c r="F209" s="19" t="n">
        <f aca="false">D209*(1-E209/12)</f>
        <v>1512677.34389774</v>
      </c>
      <c r="G209" s="19" t="n">
        <f aca="false">(G208+C209)*(1+Předpoklady!$B$12)*(1-Předpoklady!$B$9/12)</f>
        <v>1538704.2747793</v>
      </c>
      <c r="H209" s="19" t="n">
        <f aca="false">IF(AND(A209&gt;12,MOD(A209,12)=Předpoklady!$B$8),Předpoklady!$B$14,0)</f>
        <v>7200</v>
      </c>
      <c r="I209" s="19" t="n">
        <f aca="false">I208+H209</f>
        <v>122400</v>
      </c>
      <c r="J209" s="19" t="n">
        <f aca="false">J208*(1+Předpoklady!$B$12)*(1-Předpoklady!$B$9/12)+H209</f>
        <v>215773.987055737</v>
      </c>
      <c r="K209" s="19" t="n">
        <f aca="false">K208+D209*E209/12</f>
        <v>47949.3057506146</v>
      </c>
      <c r="L209" s="19" t="n">
        <f aca="false">L208+((G208+C209)+J208)*(1+Předpoklady!$B$12)*Předpoklady!$B$9/12</f>
        <v>37231.25831662</v>
      </c>
      <c r="M209" s="19" t="n">
        <f aca="false">(O208+C209)*(1+Předpoklady!$B$12)</f>
        <v>1501081.11204433</v>
      </c>
      <c r="N209" s="13" t="n">
        <f aca="false">INDEX(Předpoklady!$D$18:$D$21,MATCH(M209,Předpoklady!$A$18:$A$21,1))</f>
        <v>0.0042</v>
      </c>
      <c r="O209" s="19" t="n">
        <f aca="false">M209*(1-N209/12)</f>
        <v>1500555.73365512</v>
      </c>
      <c r="P209" s="19" t="n">
        <f aca="false">P208+M209*N209/12</f>
        <v>55742.7085270673</v>
      </c>
    </row>
    <row r="210" customFormat="false" ht="15" hidden="false" customHeight="false" outlineLevel="0" collapsed="false">
      <c r="A210" s="18" t="n">
        <v>209</v>
      </c>
      <c r="B210" s="18" t="n">
        <f aca="false">ROUNDUP(A210/12,0)</f>
        <v>18</v>
      </c>
      <c r="C210" s="17" t="n">
        <f aca="false">Předpoklady!$B$4</f>
        <v>4000</v>
      </c>
      <c r="D210" s="19" t="n">
        <f aca="false">(F209+C210)*(1+Předpoklady!$B$12)</f>
        <v>1525252.85810592</v>
      </c>
      <c r="E210" s="13" t="n">
        <f aca="false">INDEX(Předpoklady!$C$18:$C$21,MATCH(D210,Předpoklady!$A$18:$A$21,1))</f>
        <v>0.0036</v>
      </c>
      <c r="F210" s="19" t="n">
        <f aca="false">D210*(1-E210/12)</f>
        <v>1524795.28224849</v>
      </c>
      <c r="G210" s="19" t="n">
        <f aca="false">(G209+C210)*(1+Předpoklady!$B$12)*(1-Předpoklady!$B$9/12)</f>
        <v>1551039.09230141</v>
      </c>
      <c r="H210" s="19" t="n">
        <f aca="false">IF(AND(A210&gt;12,MOD(A210,12)=Předpoklady!$B$8),Předpoklady!$B$14,0)</f>
        <v>0</v>
      </c>
      <c r="I210" s="19" t="n">
        <f aca="false">I209+H210</f>
        <v>122400</v>
      </c>
      <c r="J210" s="19" t="n">
        <f aca="false">J209*(1+Předpoklady!$B$12)*(1-Předpoklady!$B$9/12)+H210</f>
        <v>216939.756048233</v>
      </c>
      <c r="K210" s="19" t="n">
        <f aca="false">K209+D210*E210/12</f>
        <v>48406.8816080464</v>
      </c>
      <c r="L210" s="19" t="n">
        <f aca="false">L209+((G209+C210)+J209)*(1+Předpoklady!$B$12)*Předpoklady!$B$9/12</f>
        <v>37673.363555017</v>
      </c>
      <c r="M210" s="19" t="n">
        <f aca="false">(O209+C210)*(1+Předpoklady!$B$12)</f>
        <v>1513062.71051666</v>
      </c>
      <c r="N210" s="13" t="n">
        <f aca="false">INDEX(Předpoklady!$D$18:$D$21,MATCH(M210,Předpoklady!$A$18:$A$21,1))</f>
        <v>0.0042</v>
      </c>
      <c r="O210" s="19" t="n">
        <f aca="false">M210*(1-N210/12)</f>
        <v>1512533.13856798</v>
      </c>
      <c r="P210" s="19" t="n">
        <f aca="false">P209+M210*N210/12</f>
        <v>56272.2804757481</v>
      </c>
    </row>
    <row r="211" customFormat="false" ht="15" hidden="false" customHeight="false" outlineLevel="0" collapsed="false">
      <c r="A211" s="18" t="n">
        <v>210</v>
      </c>
      <c r="B211" s="18" t="n">
        <f aca="false">ROUNDUP(A211/12,0)</f>
        <v>18</v>
      </c>
      <c r="C211" s="17" t="n">
        <f aca="false">Předpoklady!$B$4</f>
        <v>4000</v>
      </c>
      <c r="D211" s="19" t="n">
        <f aca="false">(F210+C211)*(1+Předpoklady!$B$12)</f>
        <v>1537439.3130419</v>
      </c>
      <c r="E211" s="13" t="n">
        <f aca="false">INDEX(Předpoklady!$C$18:$C$21,MATCH(D211,Předpoklady!$A$18:$A$21,1))</f>
        <v>0.0036</v>
      </c>
      <c r="F211" s="19" t="n">
        <f aca="false">D211*(1-E211/12)</f>
        <v>1536978.08124799</v>
      </c>
      <c r="G211" s="19" t="n">
        <f aca="false">(G210+C211)*(1+Předpoklady!$B$12)*(1-Předpoklady!$B$9/12)</f>
        <v>1563440.55153503</v>
      </c>
      <c r="H211" s="19" t="n">
        <f aca="false">IF(AND(A211&gt;12,MOD(A211,12)=Předpoklady!$B$8),Předpoklady!$B$14,0)</f>
        <v>0</v>
      </c>
      <c r="I211" s="19" t="n">
        <f aca="false">I210+H211</f>
        <v>122400</v>
      </c>
      <c r="J211" s="19" t="n">
        <f aca="false">J210*(1+Předpoklady!$B$12)*(1-Předpoklady!$B$9/12)+H211</f>
        <v>218111.823377996</v>
      </c>
      <c r="K211" s="19" t="n">
        <f aca="false">K210+D211*E211/12</f>
        <v>48868.113401959</v>
      </c>
      <c r="L211" s="19" t="n">
        <f aca="false">L210+((G210+C211)+J210)*(1+Předpoklady!$B$12)*Předpoklady!$B$9/12</f>
        <v>38118.8630236124</v>
      </c>
      <c r="M211" s="19" t="n">
        <f aca="false">(O210+C211)*(1+Předpoklady!$B$12)</f>
        <v>1525107.83741826</v>
      </c>
      <c r="N211" s="13" t="n">
        <f aca="false">INDEX(Předpoklady!$D$18:$D$21,MATCH(M211,Předpoklady!$A$18:$A$21,1))</f>
        <v>0.0042</v>
      </c>
      <c r="O211" s="19" t="n">
        <f aca="false">M211*(1-N211/12)</f>
        <v>1524574.04967516</v>
      </c>
      <c r="P211" s="19" t="n">
        <f aca="false">P210+M211*N211/12</f>
        <v>56806.0682188445</v>
      </c>
    </row>
    <row r="212" customFormat="false" ht="15" hidden="false" customHeight="false" outlineLevel="0" collapsed="false">
      <c r="A212" s="18" t="n">
        <v>211</v>
      </c>
      <c r="B212" s="18" t="n">
        <f aca="false">ROUNDUP(A212/12,0)</f>
        <v>18</v>
      </c>
      <c r="C212" s="17" t="n">
        <f aca="false">Předpoklady!$B$4</f>
        <v>4000</v>
      </c>
      <c r="D212" s="19" t="n">
        <f aca="false">(F211+C212)*(1+Předpoklady!$B$12)</f>
        <v>1549690.99535817</v>
      </c>
      <c r="E212" s="13" t="n">
        <f aca="false">INDEX(Předpoklady!$C$18:$C$21,MATCH(D212,Předpoklady!$A$18:$A$21,1))</f>
        <v>0.0036</v>
      </c>
      <c r="F212" s="19" t="n">
        <f aca="false">D212*(1-E212/12)</f>
        <v>1549226.08805956</v>
      </c>
      <c r="G212" s="19" t="n">
        <f aca="false">(G211+C212)*(1+Předpoklady!$B$12)*(1-Předpoklady!$B$9/12)</f>
        <v>1575909.01252745</v>
      </c>
      <c r="H212" s="19" t="n">
        <f aca="false">IF(AND(A212&gt;12,MOD(A212,12)=Předpoklady!$B$8),Předpoklady!$B$14,0)</f>
        <v>0</v>
      </c>
      <c r="I212" s="19" t="n">
        <f aca="false">I211+H212</f>
        <v>122400</v>
      </c>
      <c r="J212" s="19" t="n">
        <f aca="false">J211*(1+Předpoklady!$B$12)*(1-Předpoklady!$B$9/12)+H212</f>
        <v>219290.223073253</v>
      </c>
      <c r="K212" s="19" t="n">
        <f aca="false">K211+D212*E212/12</f>
        <v>49333.0207005664</v>
      </c>
      <c r="L212" s="19" t="n">
        <f aca="false">L211+((G211+C212)+J211)*(1+Předpoklady!$B$12)*Předpoklady!$B$9/12</f>
        <v>38567.7750605218</v>
      </c>
      <c r="M212" s="19" t="n">
        <f aca="false">(O211+C212)*(1+Předpoklady!$B$12)</f>
        <v>1537216.82958744</v>
      </c>
      <c r="N212" s="13" t="n">
        <f aca="false">INDEX(Předpoklady!$D$18:$D$21,MATCH(M212,Předpoklady!$A$18:$A$21,1))</f>
        <v>0.0042</v>
      </c>
      <c r="O212" s="19" t="n">
        <f aca="false">M212*(1-N212/12)</f>
        <v>1536678.80369709</v>
      </c>
      <c r="P212" s="19" t="n">
        <f aca="false">P211+M212*N212/12</f>
        <v>57344.0941092001</v>
      </c>
    </row>
    <row r="213" customFormat="false" ht="15" hidden="false" customHeight="false" outlineLevel="0" collapsed="false">
      <c r="A213" s="18" t="n">
        <v>212</v>
      </c>
      <c r="B213" s="18" t="n">
        <f aca="false">ROUNDUP(A213/12,0)</f>
        <v>18</v>
      </c>
      <c r="C213" s="17" t="n">
        <f aca="false">Předpoklady!$B$4</f>
        <v>4000</v>
      </c>
      <c r="D213" s="19" t="n">
        <f aca="false">(F212+C213)*(1+Předpoklady!$B$12)</f>
        <v>1562008.25418096</v>
      </c>
      <c r="E213" s="13" t="n">
        <f aca="false">INDEX(Předpoklady!$C$18:$C$21,MATCH(D213,Předpoklady!$A$18:$A$21,1))</f>
        <v>0.0036</v>
      </c>
      <c r="F213" s="19" t="n">
        <f aca="false">D213*(1-E213/12)</f>
        <v>1561539.6517047</v>
      </c>
      <c r="G213" s="19" t="n">
        <f aca="false">(G212+C213)*(1+Předpoklady!$B$12)*(1-Předpoklady!$B$9/12)</f>
        <v>1588444.8372712</v>
      </c>
      <c r="H213" s="19" t="n">
        <f aca="false">IF(AND(A213&gt;12,MOD(A213,12)=Předpoklady!$B$8),Předpoklady!$B$14,0)</f>
        <v>0</v>
      </c>
      <c r="I213" s="19" t="n">
        <f aca="false">I212+H213</f>
        <v>122400</v>
      </c>
      <c r="J213" s="19" t="n">
        <f aca="false">J212*(1+Předpoklady!$B$12)*(1-Předpoklady!$B$9/12)+H213</f>
        <v>220474.989346076</v>
      </c>
      <c r="K213" s="19" t="n">
        <f aca="false">K212+D213*E213/12</f>
        <v>49801.6231768207</v>
      </c>
      <c r="L213" s="19" t="n">
        <f aca="false">L212+((G212+C213)+J212)*(1+Předpoklady!$B$12)*Předpoklady!$B$9/12</f>
        <v>39020.1181029368</v>
      </c>
      <c r="M213" s="19" t="n">
        <f aca="false">(O212+C213)*(1+Předpoklady!$B$12)</f>
        <v>1549390.02564848</v>
      </c>
      <c r="N213" s="13" t="n">
        <f aca="false">INDEX(Předpoklady!$D$18:$D$21,MATCH(M213,Předpoklady!$A$18:$A$21,1))</f>
        <v>0.0042</v>
      </c>
      <c r="O213" s="19" t="n">
        <f aca="false">M213*(1-N213/12)</f>
        <v>1548847.73913951</v>
      </c>
      <c r="P213" s="19" t="n">
        <f aca="false">P212+M213*N213/12</f>
        <v>57886.3806181771</v>
      </c>
    </row>
    <row r="214" customFormat="false" ht="15" hidden="false" customHeight="false" outlineLevel="0" collapsed="false">
      <c r="A214" s="18" t="n">
        <v>213</v>
      </c>
      <c r="B214" s="18" t="n">
        <f aca="false">ROUNDUP(A214/12,0)</f>
        <v>18</v>
      </c>
      <c r="C214" s="17" t="n">
        <f aca="false">Předpoklady!$B$4</f>
        <v>4000</v>
      </c>
      <c r="D214" s="19" t="n">
        <f aca="false">(F213+C214)*(1+Předpoklady!$B$12)</f>
        <v>1574391.44050519</v>
      </c>
      <c r="E214" s="13" t="n">
        <f aca="false">INDEX(Předpoklady!$C$18:$C$21,MATCH(D214,Předpoklady!$A$18:$A$21,1))</f>
        <v>0.0036</v>
      </c>
      <c r="F214" s="19" t="n">
        <f aca="false">D214*(1-E214/12)</f>
        <v>1573919.12307304</v>
      </c>
      <c r="G214" s="19" t="n">
        <f aca="false">(G213+C214)*(1+Předpoklady!$B$12)*(1-Předpoklady!$B$9/12)</f>
        <v>1601048.38971458</v>
      </c>
      <c r="H214" s="19" t="n">
        <f aca="false">IF(AND(A214&gt;12,MOD(A214,12)=Předpoklady!$B$8),Předpoklady!$B$14,0)</f>
        <v>0</v>
      </c>
      <c r="I214" s="19" t="n">
        <f aca="false">I213+H214</f>
        <v>122400</v>
      </c>
      <c r="J214" s="19" t="n">
        <f aca="false">J213*(1+Předpoklady!$B$12)*(1-Předpoklady!$B$9/12)+H214</f>
        <v>221666.156593378</v>
      </c>
      <c r="K214" s="19" t="n">
        <f aca="false">K213+D214*E214/12</f>
        <v>50273.9406089723</v>
      </c>
      <c r="L214" s="19" t="n">
        <f aca="false">L213+((G213+C214)+J213)*(1+Předpoklady!$B$12)*Předpoklady!$B$9/12</f>
        <v>39475.9106876599</v>
      </c>
      <c r="M214" s="19" t="n">
        <f aca="false">(O213+C214)*(1+Předpoklady!$B$12)</f>
        <v>1561627.7660211</v>
      </c>
      <c r="N214" s="13" t="n">
        <f aca="false">INDEX(Předpoklady!$D$18:$D$21,MATCH(M214,Předpoklady!$A$18:$A$21,1))</f>
        <v>0.0042</v>
      </c>
      <c r="O214" s="19" t="n">
        <f aca="false">M214*(1-N214/12)</f>
        <v>1561081.196303</v>
      </c>
      <c r="P214" s="19" t="n">
        <f aca="false">P213+M214*N214/12</f>
        <v>58432.9503362845</v>
      </c>
    </row>
    <row r="215" customFormat="false" ht="15" hidden="false" customHeight="false" outlineLevel="0" collapsed="false">
      <c r="A215" s="18" t="n">
        <v>214</v>
      </c>
      <c r="B215" s="18" t="n">
        <f aca="false">ROUNDUP(A215/12,0)</f>
        <v>18</v>
      </c>
      <c r="C215" s="17" t="n">
        <f aca="false">Předpoklady!$B$4</f>
        <v>4000</v>
      </c>
      <c r="D215" s="19" t="n">
        <f aca="false">(F214+C215)*(1+Předpoklady!$B$12)</f>
        <v>1586840.90720446</v>
      </c>
      <c r="E215" s="13" t="n">
        <f aca="false">INDEX(Předpoklady!$C$18:$C$21,MATCH(D215,Předpoklady!$A$18:$A$21,1))</f>
        <v>0.0036</v>
      </c>
      <c r="F215" s="19" t="n">
        <f aca="false">D215*(1-E215/12)</f>
        <v>1586364.8549323</v>
      </c>
      <c r="G215" s="19" t="n">
        <f aca="false">(G214+C215)*(1+Předpoklady!$B$12)*(1-Předpoklady!$B$9/12)</f>
        <v>1613720.03577218</v>
      </c>
      <c r="H215" s="19" t="n">
        <f aca="false">IF(AND(A215&gt;12,MOD(A215,12)=Předpoklady!$B$8),Předpoklady!$B$14,0)</f>
        <v>0</v>
      </c>
      <c r="I215" s="19" t="n">
        <f aca="false">I214+H215</f>
        <v>122400</v>
      </c>
      <c r="J215" s="19" t="n">
        <f aca="false">J214*(1+Předpoklady!$B$12)*(1-Předpoklady!$B$9/12)+H215</f>
        <v>222863.759397907</v>
      </c>
      <c r="K215" s="19" t="n">
        <f aca="false">K214+D215*E215/12</f>
        <v>50749.9928811336</v>
      </c>
      <c r="L215" s="19" t="n">
        <f aca="false">L214+((G214+C215)+J214)*(1+Předpoklady!$B$12)*Předpoklady!$B$9/12</f>
        <v>39935.1714516435</v>
      </c>
      <c r="M215" s="19" t="n">
        <f aca="false">(O214+C215)*(1+Předpoklady!$B$12)</f>
        <v>1573930.39292999</v>
      </c>
      <c r="N215" s="13" t="n">
        <f aca="false">INDEX(Předpoklady!$D$18:$D$21,MATCH(M215,Předpoklady!$A$18:$A$21,1))</f>
        <v>0.0042</v>
      </c>
      <c r="O215" s="19" t="n">
        <f aca="false">M215*(1-N215/12)</f>
        <v>1573379.51729246</v>
      </c>
      <c r="P215" s="19" t="n">
        <f aca="false">P214+M215*N215/12</f>
        <v>58983.82597381</v>
      </c>
    </row>
    <row r="216" customFormat="false" ht="15" hidden="false" customHeight="false" outlineLevel="0" collapsed="false">
      <c r="A216" s="18" t="n">
        <v>215</v>
      </c>
      <c r="B216" s="18" t="n">
        <f aca="false">ROUNDUP(A216/12,0)</f>
        <v>18</v>
      </c>
      <c r="C216" s="17" t="n">
        <f aca="false">Předpoklady!$B$4</f>
        <v>4000</v>
      </c>
      <c r="D216" s="19" t="n">
        <f aca="false">(F215+C216)*(1+Předpoklady!$B$12)</f>
        <v>1599357.00904111</v>
      </c>
      <c r="E216" s="13" t="n">
        <f aca="false">INDEX(Předpoklady!$C$18:$C$21,MATCH(D216,Předpoklady!$A$18:$A$21,1))</f>
        <v>0.0036</v>
      </c>
      <c r="F216" s="19" t="n">
        <f aca="false">D216*(1-E216/12)</f>
        <v>1598877.20193839</v>
      </c>
      <c r="G216" s="19" t="n">
        <f aca="false">(G215+C216)*(1+Předpoklady!$B$12)*(1-Předpoklady!$B$9/12)</f>
        <v>1626460.14333555</v>
      </c>
      <c r="H216" s="19" t="n">
        <f aca="false">IF(AND(A216&gt;12,MOD(A216,12)=Předpoklady!$B$8),Předpoklady!$B$14,0)</f>
        <v>0</v>
      </c>
      <c r="I216" s="19" t="n">
        <f aca="false">I215+H216</f>
        <v>122400</v>
      </c>
      <c r="J216" s="19" t="n">
        <f aca="false">J215*(1+Předpoklady!$B$12)*(1-Předpoklady!$B$9/12)+H216</f>
        <v>224067.832529252</v>
      </c>
      <c r="K216" s="19" t="n">
        <f aca="false">K215+D216*E216/12</f>
        <v>51229.799983846</v>
      </c>
      <c r="L216" s="19" t="n">
        <f aca="false">L215+((G215+C216)+J215)*(1+Předpoklady!$B$12)*Předpoklady!$B$9/12</f>
        <v>40397.9191325299</v>
      </c>
      <c r="M216" s="19" t="n">
        <f aca="false">(O215+C216)*(1+Předpoklady!$B$12)</f>
        <v>1586298.25041435</v>
      </c>
      <c r="N216" s="13" t="n">
        <f aca="false">INDEX(Předpoklady!$D$18:$D$21,MATCH(M216,Předpoklady!$A$18:$A$21,1))</f>
        <v>0.0042</v>
      </c>
      <c r="O216" s="19" t="n">
        <f aca="false">M216*(1-N216/12)</f>
        <v>1585743.0460267</v>
      </c>
      <c r="P216" s="19" t="n">
        <f aca="false">P215+M216*N216/12</f>
        <v>59539.030361455</v>
      </c>
    </row>
    <row r="217" customFormat="false" ht="15" hidden="false" customHeight="false" outlineLevel="0" collapsed="false">
      <c r="A217" s="18" t="n">
        <v>216</v>
      </c>
      <c r="B217" s="18" t="n">
        <f aca="false">ROUNDUP(A217/12,0)</f>
        <v>18</v>
      </c>
      <c r="C217" s="17" t="n">
        <f aca="false">Předpoklady!$B$4</f>
        <v>4000</v>
      </c>
      <c r="D217" s="19" t="n">
        <f aca="false">(F216+C217)*(1+Předpoklady!$B$12)</f>
        <v>1611940.10267631</v>
      </c>
      <c r="E217" s="13" t="n">
        <f aca="false">INDEX(Předpoklady!$C$18:$C$21,MATCH(D217,Předpoklady!$A$18:$A$21,1))</f>
        <v>0.0036</v>
      </c>
      <c r="F217" s="19" t="n">
        <f aca="false">D217*(1-E217/12)</f>
        <v>1611456.52064551</v>
      </c>
      <c r="G217" s="19" t="n">
        <f aca="false">(G216+C217)*(1+Předpoklady!$B$12)*(1-Předpoklady!$B$9/12)</f>
        <v>1639269.08228383</v>
      </c>
      <c r="H217" s="19" t="n">
        <f aca="false">IF(AND(A217&gt;12,MOD(A217,12)=Předpoklady!$B$8),Předpoklady!$B$14,0)</f>
        <v>0</v>
      </c>
      <c r="I217" s="19" t="n">
        <f aca="false">I216+H217</f>
        <v>122400</v>
      </c>
      <c r="J217" s="19" t="n">
        <f aca="false">J216*(1+Předpoklady!$B$12)*(1-Předpoklady!$B$9/12)+H217</f>
        <v>225278.410944856</v>
      </c>
      <c r="K217" s="19" t="n">
        <f aca="false">K216+D217*E217/12</f>
        <v>51713.3820146488</v>
      </c>
      <c r="L217" s="19" t="n">
        <f aca="false">L216+((G216+C217)+J216)*(1+Předpoklady!$B$12)*Předpoklady!$B$9/12</f>
        <v>40864.1725691962</v>
      </c>
      <c r="M217" s="19" t="n">
        <f aca="false">(O216+C217)*(1+Předpoklady!$B$12)</f>
        <v>1598731.68433756</v>
      </c>
      <c r="N217" s="13" t="n">
        <f aca="false">INDEX(Předpoklady!$D$18:$D$21,MATCH(M217,Předpoklady!$A$18:$A$21,1))</f>
        <v>0.0042</v>
      </c>
      <c r="O217" s="19" t="n">
        <f aca="false">M217*(1-N217/12)</f>
        <v>1598172.12824804</v>
      </c>
      <c r="P217" s="19" t="n">
        <f aca="false">P216+M217*N217/12</f>
        <v>60098.5864509732</v>
      </c>
    </row>
    <row r="218" customFormat="false" ht="15" hidden="false" customHeight="false" outlineLevel="0" collapsed="false">
      <c r="A218" s="18" t="n">
        <v>217</v>
      </c>
      <c r="B218" s="18" t="n">
        <f aca="false">ROUNDUP(A218/12,0)</f>
        <v>19</v>
      </c>
      <c r="C218" s="17" t="n">
        <f aca="false">Předpoklady!$B$4</f>
        <v>4000</v>
      </c>
      <c r="D218" s="19" t="n">
        <f aca="false">(F217+C218)*(1+Předpoklady!$B$12)</f>
        <v>1624590.54668027</v>
      </c>
      <c r="E218" s="13" t="n">
        <f aca="false">INDEX(Předpoklady!$C$18:$C$21,MATCH(D218,Předpoklady!$A$18:$A$21,1))</f>
        <v>0.0036</v>
      </c>
      <c r="F218" s="19" t="n">
        <f aca="false">D218*(1-E218/12)</f>
        <v>1624103.16951627</v>
      </c>
      <c r="G218" s="19" t="n">
        <f aca="false">(G217+C218)*(1+Předpoklady!$B$12)*(1-Předpoklady!$B$9/12)</f>
        <v>1652147.22449454</v>
      </c>
      <c r="H218" s="19" t="n">
        <f aca="false">IF(AND(A218&gt;12,MOD(A218,12)=Předpoklady!$B$8),Předpoklady!$B$14,0)</f>
        <v>0</v>
      </c>
      <c r="I218" s="19" t="n">
        <f aca="false">I217+H218</f>
        <v>122400</v>
      </c>
      <c r="J218" s="19" t="n">
        <f aca="false">J217*(1+Předpoklady!$B$12)*(1-Předpoklady!$B$9/12)+H218</f>
        <v>226495.529791024</v>
      </c>
      <c r="K218" s="19" t="n">
        <f aca="false">K217+D218*E218/12</f>
        <v>52200.7591786529</v>
      </c>
      <c r="L218" s="19" t="n">
        <f aca="false">L217+((G217+C218)+J217)*(1+Předpoklady!$B$12)*Předpoklady!$B$9/12</f>
        <v>41333.9507023009</v>
      </c>
      <c r="M218" s="19" t="n">
        <f aca="false">(O217+C218)*(1+Předpoklady!$B$12)</f>
        <v>1611231.0423968</v>
      </c>
      <c r="N218" s="13" t="n">
        <f aca="false">INDEX(Předpoklady!$D$18:$D$21,MATCH(M218,Předpoklady!$A$18:$A$21,1))</f>
        <v>0.0042</v>
      </c>
      <c r="O218" s="19" t="n">
        <f aca="false">M218*(1-N218/12)</f>
        <v>1610667.11153196</v>
      </c>
      <c r="P218" s="19" t="n">
        <f aca="false">P217+M218*N218/12</f>
        <v>60662.517315812</v>
      </c>
    </row>
    <row r="219" customFormat="false" ht="15" hidden="false" customHeight="false" outlineLevel="0" collapsed="false">
      <c r="A219" s="18" t="n">
        <v>218</v>
      </c>
      <c r="B219" s="18" t="n">
        <f aca="false">ROUNDUP(A219/12,0)</f>
        <v>19</v>
      </c>
      <c r="C219" s="17" t="n">
        <f aca="false">Předpoklady!$B$4</f>
        <v>4000</v>
      </c>
      <c r="D219" s="19" t="n">
        <f aca="false">(F218+C219)*(1+Předpoklady!$B$12)</f>
        <v>1637308.70154241</v>
      </c>
      <c r="E219" s="13" t="n">
        <f aca="false">INDEX(Předpoklady!$C$18:$C$21,MATCH(D219,Předpoklady!$A$18:$A$21,1))</f>
        <v>0.0036</v>
      </c>
      <c r="F219" s="19" t="n">
        <f aca="false">D219*(1-E219/12)</f>
        <v>1636817.50893194</v>
      </c>
      <c r="G219" s="19" t="n">
        <f aca="false">(G218+C219)*(1+Předpoklady!$B$12)*(1-Předpoklady!$B$9/12)</f>
        <v>1665094.94385436</v>
      </c>
      <c r="H219" s="19" t="n">
        <f aca="false">IF(AND(A219&gt;12,MOD(A219,12)=Předpoklady!$B$8),Předpoklady!$B$14,0)</f>
        <v>0</v>
      </c>
      <c r="I219" s="19" t="n">
        <f aca="false">I218+H219</f>
        <v>122400</v>
      </c>
      <c r="J219" s="19" t="n">
        <f aca="false">J218*(1+Předpoklady!$B$12)*(1-Předpoklady!$B$9/12)+H219</f>
        <v>227719.224403948</v>
      </c>
      <c r="K219" s="19" t="n">
        <f aca="false">K218+D219*E219/12</f>
        <v>52691.9517891156</v>
      </c>
      <c r="L219" s="19" t="n">
        <f aca="false">L218+((G218+C219)+J218)*(1+Předpoklady!$B$12)*Předpoklady!$B$9/12</f>
        <v>41807.2725748336</v>
      </c>
      <c r="M219" s="19" t="n">
        <f aca="false">(O218+C219)*(1+Předpoklady!$B$12)</f>
        <v>1623796.67413282</v>
      </c>
      <c r="N219" s="13" t="n">
        <f aca="false">INDEX(Předpoklady!$D$18:$D$21,MATCH(M219,Předpoklady!$A$18:$A$21,1))</f>
        <v>0.0042</v>
      </c>
      <c r="O219" s="19" t="n">
        <f aca="false">M219*(1-N219/12)</f>
        <v>1623228.34529688</v>
      </c>
      <c r="P219" s="19" t="n">
        <f aca="false">P218+M219*N219/12</f>
        <v>61230.8461517585</v>
      </c>
    </row>
    <row r="220" customFormat="false" ht="15" hidden="false" customHeight="false" outlineLevel="0" collapsed="false">
      <c r="A220" s="18" t="n">
        <v>219</v>
      </c>
      <c r="B220" s="18" t="n">
        <f aca="false">ROUNDUP(A220/12,0)</f>
        <v>19</v>
      </c>
      <c r="C220" s="17" t="n">
        <f aca="false">Předpoklady!$B$4</f>
        <v>4000</v>
      </c>
      <c r="D220" s="19" t="n">
        <f aca="false">(F219+C220)*(1+Předpoklady!$B$12)</f>
        <v>1650094.92968165</v>
      </c>
      <c r="E220" s="13" t="n">
        <f aca="false">INDEX(Předpoklady!$C$18:$C$21,MATCH(D220,Předpoklady!$A$18:$A$21,1))</f>
        <v>0.0036</v>
      </c>
      <c r="F220" s="19" t="n">
        <f aca="false">D220*(1-E220/12)</f>
        <v>1649599.90120274</v>
      </c>
      <c r="G220" s="19" t="n">
        <f aca="false">(G219+C220)*(1+Předpoklady!$B$12)*(1-Předpoklady!$B$9/12)</f>
        <v>1678112.61626996</v>
      </c>
      <c r="H220" s="19" t="n">
        <f aca="false">IF(AND(A220&gt;12,MOD(A220,12)=Předpoklady!$B$8),Předpoklady!$B$14,0)</f>
        <v>0</v>
      </c>
      <c r="I220" s="19" t="n">
        <f aca="false">I219+H220</f>
        <v>122400</v>
      </c>
      <c r="J220" s="19" t="n">
        <f aca="false">J219*(1+Předpoklady!$B$12)*(1-Předpoklady!$B$9/12)+H220</f>
        <v>228949.530310733</v>
      </c>
      <c r="K220" s="19" t="n">
        <f aca="false">K219+D220*E220/12</f>
        <v>53186.9802680201</v>
      </c>
      <c r="L220" s="19" t="n">
        <f aca="false">L219+((G219+C220)+J219)*(1+Předpoklady!$B$12)*Předpoklady!$B$9/12</f>
        <v>42284.1573326682</v>
      </c>
      <c r="M220" s="19" t="n">
        <f aca="false">(O219+C220)*(1+Předpoklady!$B$12)</f>
        <v>1636428.93093969</v>
      </c>
      <c r="N220" s="13" t="n">
        <f aca="false">INDEX(Předpoklady!$D$18:$D$21,MATCH(M220,Předpoklady!$A$18:$A$21,1))</f>
        <v>0.0042</v>
      </c>
      <c r="O220" s="19" t="n">
        <f aca="false">M220*(1-N220/12)</f>
        <v>1635856.18081386</v>
      </c>
      <c r="P220" s="19" t="n">
        <f aca="false">P219+M220*N220/12</f>
        <v>61803.5962775874</v>
      </c>
    </row>
    <row r="221" customFormat="false" ht="15" hidden="false" customHeight="false" outlineLevel="0" collapsed="false">
      <c r="A221" s="18" t="n">
        <v>220</v>
      </c>
      <c r="B221" s="18" t="n">
        <f aca="false">ROUNDUP(A221/12,0)</f>
        <v>19</v>
      </c>
      <c r="C221" s="17" t="n">
        <f aca="false">Předpoklady!$B$4</f>
        <v>4000</v>
      </c>
      <c r="D221" s="19" t="n">
        <f aca="false">(F220+C221)*(1+Předpoklady!$B$12)</f>
        <v>1662949.59545674</v>
      </c>
      <c r="E221" s="13" t="n">
        <f aca="false">INDEX(Předpoklady!$C$18:$C$21,MATCH(D221,Předpoklady!$A$18:$A$21,1))</f>
        <v>0.0036</v>
      </c>
      <c r="F221" s="19" t="n">
        <f aca="false">D221*(1-E221/12)</f>
        <v>1662450.7105781</v>
      </c>
      <c r="G221" s="19" t="n">
        <f aca="false">(G220+C221)*(1+Předpoklady!$B$12)*(1-Předpoklady!$B$9/12)</f>
        <v>1691200.61967895</v>
      </c>
      <c r="H221" s="19" t="n">
        <f aca="false">IF(AND(A221&gt;12,MOD(A221,12)=Předpoklady!$B$8),Předpoklady!$B$14,0)</f>
        <v>7200</v>
      </c>
      <c r="I221" s="19" t="n">
        <f aca="false">I220+H221</f>
        <v>129600</v>
      </c>
      <c r="J221" s="19" t="n">
        <f aca="false">J220*(1+Předpoklady!$B$12)*(1-Předpoklady!$B$9/12)+H221</f>
        <v>237386.483230428</v>
      </c>
      <c r="K221" s="19" t="n">
        <f aca="false">K220+D221*E221/12</f>
        <v>53685.8651466572</v>
      </c>
      <c r="L221" s="19" t="n">
        <f aca="false">L220+((G220+C221)+J220)*(1+Předpoklady!$B$12)*Předpoklady!$B$9/12</f>
        <v>42764.6242251187</v>
      </c>
      <c r="M221" s="19" t="n">
        <f aca="false">(O220+C221)*(1+Předpoklady!$B$12)</f>
        <v>1649128.16607462</v>
      </c>
      <c r="N221" s="13" t="n">
        <f aca="false">INDEX(Předpoklady!$D$18:$D$21,MATCH(M221,Předpoklady!$A$18:$A$21,1))</f>
        <v>0.0042</v>
      </c>
      <c r="O221" s="19" t="n">
        <f aca="false">M221*(1-N221/12)</f>
        <v>1648550.9712165</v>
      </c>
      <c r="P221" s="19" t="n">
        <f aca="false">P220+M221*N221/12</f>
        <v>62380.7911357135</v>
      </c>
    </row>
    <row r="222" customFormat="false" ht="15" hidden="false" customHeight="false" outlineLevel="0" collapsed="false">
      <c r="A222" s="18" t="n">
        <v>221</v>
      </c>
      <c r="B222" s="18" t="n">
        <f aca="false">ROUNDUP(A222/12,0)</f>
        <v>19</v>
      </c>
      <c r="C222" s="17" t="n">
        <f aca="false">Předpoklady!$B$4</f>
        <v>4000</v>
      </c>
      <c r="D222" s="19" t="n">
        <f aca="false">(F221+C222)*(1+Předpoklady!$B$12)</f>
        <v>1675873.06517666</v>
      </c>
      <c r="E222" s="13" t="n">
        <f aca="false">INDEX(Předpoklady!$C$18:$C$21,MATCH(D222,Předpoklady!$A$18:$A$21,1))</f>
        <v>0.0036</v>
      </c>
      <c r="F222" s="19" t="n">
        <f aca="false">D222*(1-E222/12)</f>
        <v>1675370.3032571</v>
      </c>
      <c r="G222" s="19" t="n">
        <f aca="false">(G221+C222)*(1+Předpoklady!$B$12)*(1-Předpoklady!$B$9/12)</f>
        <v>1704359.33406082</v>
      </c>
      <c r="H222" s="19" t="n">
        <f aca="false">IF(AND(A222&gt;12,MOD(A222,12)=Předpoklady!$B$8),Předpoklady!$B$14,0)</f>
        <v>0</v>
      </c>
      <c r="I222" s="19" t="n">
        <f aca="false">I221+H222</f>
        <v>129600</v>
      </c>
      <c r="J222" s="19" t="n">
        <f aca="false">J221*(1+Předpoklady!$B$12)*(1-Předpoklady!$B$9/12)+H222</f>
        <v>238669.018744388</v>
      </c>
      <c r="K222" s="19" t="n">
        <f aca="false">K221+D222*E222/12</f>
        <v>54188.6270662102</v>
      </c>
      <c r="L222" s="19" t="n">
        <f aca="false">L221+((G221+C222)+J221)*(1+Předpoklady!$B$12)*Předpoklady!$B$9/12</f>
        <v>43250.5027829595</v>
      </c>
      <c r="M222" s="19" t="n">
        <f aca="false">(O221+C222)*(1+Předpoklady!$B$12)</f>
        <v>1661894.73466785</v>
      </c>
      <c r="N222" s="13" t="n">
        <f aca="false">INDEX(Předpoklady!$D$18:$D$21,MATCH(M222,Předpoklady!$A$18:$A$21,1))</f>
        <v>0.0042</v>
      </c>
      <c r="O222" s="19" t="n">
        <f aca="false">M222*(1-N222/12)</f>
        <v>1661313.07151072</v>
      </c>
      <c r="P222" s="19" t="n">
        <f aca="false">P221+M222*N222/12</f>
        <v>62962.4542928473</v>
      </c>
    </row>
    <row r="223" customFormat="false" ht="15" hidden="false" customHeight="false" outlineLevel="0" collapsed="false">
      <c r="A223" s="18" t="n">
        <v>222</v>
      </c>
      <c r="B223" s="18" t="n">
        <f aca="false">ROUNDUP(A223/12,0)</f>
        <v>19</v>
      </c>
      <c r="C223" s="17" t="n">
        <f aca="false">Předpoklady!$B$4</f>
        <v>4000</v>
      </c>
      <c r="D223" s="19" t="n">
        <f aca="false">(F222+C223)*(1+Předpoklady!$B$12)</f>
        <v>1688865.70711101</v>
      </c>
      <c r="E223" s="13" t="n">
        <f aca="false">INDEX(Předpoklady!$C$18:$C$21,MATCH(D223,Předpoklady!$A$18:$A$21,1))</f>
        <v>0.0036</v>
      </c>
      <c r="F223" s="19" t="n">
        <f aca="false">D223*(1-E223/12)</f>
        <v>1688359.04739888</v>
      </c>
      <c r="G223" s="19" t="n">
        <f aca="false">(G222+C223)*(1+Předpoklady!$B$12)*(1-Předpoklady!$B$9/12)</f>
        <v>1717589.14144801</v>
      </c>
      <c r="H223" s="19" t="n">
        <f aca="false">IF(AND(A223&gt;12,MOD(A223,12)=Předpoklady!$B$8),Předpoklady!$B$14,0)</f>
        <v>0</v>
      </c>
      <c r="I223" s="19" t="n">
        <f aca="false">I222+H223</f>
        <v>129600</v>
      </c>
      <c r="J223" s="19" t="n">
        <f aca="false">J222*(1+Předpoklady!$B$12)*(1-Předpoklady!$B$9/12)+H223</f>
        <v>239958.483453819</v>
      </c>
      <c r="K223" s="19" t="n">
        <f aca="false">K222+D223*E223/12</f>
        <v>54695.2867783435</v>
      </c>
      <c r="L223" s="19" t="n">
        <f aca="false">L222+((G222+C223)+J222)*(1+Předpoklady!$B$12)*Předpoklady!$B$9/12</f>
        <v>43740.0120665058</v>
      </c>
      <c r="M223" s="19" t="n">
        <f aca="false">(O222+C223)*(1+Předpoklady!$B$12)</f>
        <v>1674728.99373259</v>
      </c>
      <c r="N223" s="13" t="n">
        <f aca="false">INDEX(Předpoklady!$D$18:$D$21,MATCH(M223,Předpoklady!$A$18:$A$21,1))</f>
        <v>0.0042</v>
      </c>
      <c r="O223" s="19" t="n">
        <f aca="false">M223*(1-N223/12)</f>
        <v>1674142.83858478</v>
      </c>
      <c r="P223" s="19" t="n">
        <f aca="false">P222+M223*N223/12</f>
        <v>63548.6094406537</v>
      </c>
    </row>
    <row r="224" customFormat="false" ht="15" hidden="false" customHeight="false" outlineLevel="0" collapsed="false">
      <c r="A224" s="18" t="n">
        <v>223</v>
      </c>
      <c r="B224" s="18" t="n">
        <f aca="false">ROUNDUP(A224/12,0)</f>
        <v>19</v>
      </c>
      <c r="C224" s="17" t="n">
        <f aca="false">Předpoklady!$B$4</f>
        <v>4000</v>
      </c>
      <c r="D224" s="19" t="n">
        <f aca="false">(F223+C224)*(1+Předpoklady!$B$12)</f>
        <v>1701927.89150056</v>
      </c>
      <c r="E224" s="13" t="n">
        <f aca="false">INDEX(Předpoklady!$C$18:$C$21,MATCH(D224,Předpoklady!$A$18:$A$21,1))</f>
        <v>0.0036</v>
      </c>
      <c r="F224" s="19" t="n">
        <f aca="false">D224*(1-E224/12)</f>
        <v>1701417.31313311</v>
      </c>
      <c r="G224" s="19" t="n">
        <f aca="false">(G223+C224)*(1+Předpoklady!$B$12)*(1-Předpoklady!$B$9/12)</f>
        <v>1730890.42593695</v>
      </c>
      <c r="H224" s="19" t="n">
        <f aca="false">IF(AND(A224&gt;12,MOD(A224,12)=Předpoklady!$B$8),Předpoklady!$B$14,0)</f>
        <v>0</v>
      </c>
      <c r="I224" s="19" t="n">
        <f aca="false">I223+H224</f>
        <v>129600</v>
      </c>
      <c r="J224" s="19" t="n">
        <f aca="false">J223*(1+Předpoklady!$B$12)*(1-Předpoklady!$B$9/12)+H224</f>
        <v>241254.914795307</v>
      </c>
      <c r="K224" s="19" t="n">
        <f aca="false">K223+D224*E224/12</f>
        <v>55205.8651457936</v>
      </c>
      <c r="L224" s="19" t="n">
        <f aca="false">L223+((G223+C224)+J223)*(1+Předpoklady!$B$12)*Předpoklady!$B$9/12</f>
        <v>44233.1716915951</v>
      </c>
      <c r="M224" s="19" t="n">
        <f aca="false">(O223+C224)*(1+Předpoklady!$B$12)</f>
        <v>1687631.30217497</v>
      </c>
      <c r="N224" s="13" t="n">
        <f aca="false">INDEX(Předpoklady!$D$18:$D$21,MATCH(M224,Předpoklady!$A$18:$A$21,1))</f>
        <v>0.0042</v>
      </c>
      <c r="O224" s="19" t="n">
        <f aca="false">M224*(1-N224/12)</f>
        <v>1687040.63121921</v>
      </c>
      <c r="P224" s="19" t="n">
        <f aca="false">P223+M224*N224/12</f>
        <v>64139.2803964149</v>
      </c>
    </row>
    <row r="225" customFormat="false" ht="15" hidden="false" customHeight="false" outlineLevel="0" collapsed="false">
      <c r="A225" s="18" t="n">
        <v>224</v>
      </c>
      <c r="B225" s="18" t="n">
        <f aca="false">ROUNDUP(A225/12,0)</f>
        <v>19</v>
      </c>
      <c r="C225" s="17" t="n">
        <f aca="false">Předpoklady!$B$4</f>
        <v>4000</v>
      </c>
      <c r="D225" s="19" t="n">
        <f aca="false">(F224+C225)*(1+Předpoklady!$B$12)</f>
        <v>1715059.99056776</v>
      </c>
      <c r="E225" s="13" t="n">
        <f aca="false">INDEX(Předpoklady!$C$18:$C$21,MATCH(D225,Předpoklady!$A$18:$A$21,1))</f>
        <v>0.0036</v>
      </c>
      <c r="F225" s="19" t="n">
        <f aca="false">D225*(1-E225/12)</f>
        <v>1714545.47257059</v>
      </c>
      <c r="G225" s="19" t="n">
        <f aca="false">(G224+C225)*(1+Předpoklady!$B$12)*(1-Předpoklady!$B$9/12)</f>
        <v>1744263.57369925</v>
      </c>
      <c r="H225" s="19" t="n">
        <f aca="false">IF(AND(A225&gt;12,MOD(A225,12)=Předpoklady!$B$8),Předpoklady!$B$14,0)</f>
        <v>0</v>
      </c>
      <c r="I225" s="19" t="n">
        <f aca="false">I224+H225</f>
        <v>129600</v>
      </c>
      <c r="J225" s="19" t="n">
        <f aca="false">J224*(1+Předpoklady!$B$12)*(1-Předpoklady!$B$9/12)+H225</f>
        <v>242558.350407696</v>
      </c>
      <c r="K225" s="19" t="n">
        <f aca="false">K224+D225*E225/12</f>
        <v>55720.383142964</v>
      </c>
      <c r="L225" s="19" t="n">
        <f aca="false">L224+((G224+C225)+J224)*(1+Předpoklady!$B$12)*Předpoklady!$B$9/12</f>
        <v>44730.001380044</v>
      </c>
      <c r="M225" s="19" t="n">
        <f aca="false">(O224+C225)*(1+Předpoklady!$B$12)</f>
        <v>1700602.02080413</v>
      </c>
      <c r="N225" s="13" t="n">
        <f aca="false">INDEX(Předpoklady!$D$18:$D$21,MATCH(M225,Předpoklady!$A$18:$A$21,1))</f>
        <v>0.0042</v>
      </c>
      <c r="O225" s="19" t="n">
        <f aca="false">M225*(1-N225/12)</f>
        <v>1700006.81009685</v>
      </c>
      <c r="P225" s="19" t="n">
        <f aca="false">P224+M225*N225/12</f>
        <v>64734.4911036964</v>
      </c>
    </row>
    <row r="226" customFormat="false" ht="15" hidden="false" customHeight="false" outlineLevel="0" collapsed="false">
      <c r="A226" s="18" t="n">
        <v>225</v>
      </c>
      <c r="B226" s="18" t="n">
        <f aca="false">ROUNDUP(A226/12,0)</f>
        <v>19</v>
      </c>
      <c r="C226" s="17" t="n">
        <f aca="false">Předpoklady!$B$4</f>
        <v>4000</v>
      </c>
      <c r="D226" s="19" t="n">
        <f aca="false">(F225+C226)*(1+Předpoklady!$B$12)</f>
        <v>1728262.37852737</v>
      </c>
      <c r="E226" s="13" t="n">
        <f aca="false">INDEX(Předpoklady!$C$18:$C$21,MATCH(D226,Předpoklady!$A$18:$A$21,1))</f>
        <v>0.0036</v>
      </c>
      <c r="F226" s="19" t="n">
        <f aca="false">D226*(1-E226/12)</f>
        <v>1727743.89981382</v>
      </c>
      <c r="G226" s="19" t="n">
        <f aca="false">(G225+C226)*(1+Předpoklady!$B$12)*(1-Předpoklady!$B$9/12)</f>
        <v>1757708.97299292</v>
      </c>
      <c r="H226" s="19" t="n">
        <f aca="false">IF(AND(A226&gt;12,MOD(A226,12)=Předpoklady!$B$8),Předpoklady!$B$14,0)</f>
        <v>0</v>
      </c>
      <c r="I226" s="19" t="n">
        <f aca="false">I225+H226</f>
        <v>129600</v>
      </c>
      <c r="J226" s="19" t="n">
        <f aca="false">J225*(1+Předpoklady!$B$12)*(1-Předpoklady!$B$9/12)+H226</f>
        <v>243868.828133183</v>
      </c>
      <c r="K226" s="19" t="n">
        <f aca="false">K225+D226*E226/12</f>
        <v>56238.8618565222</v>
      </c>
      <c r="L226" s="19" t="n">
        <f aca="false">L225+((G225+C226)+J225)*(1+Předpoklady!$B$12)*Předpoklady!$B$9/12</f>
        <v>45230.5209602206</v>
      </c>
      <c r="M226" s="19" t="n">
        <f aca="false">(O225+C226)*(1+Předpoklady!$B$12)</f>
        <v>1713641.51234227</v>
      </c>
      <c r="N226" s="13" t="n">
        <f aca="false">INDEX(Předpoklady!$D$18:$D$21,MATCH(M226,Předpoklady!$A$18:$A$21,1))</f>
        <v>0.0042</v>
      </c>
      <c r="O226" s="19" t="n">
        <f aca="false">M226*(1-N226/12)</f>
        <v>1713041.73781295</v>
      </c>
      <c r="P226" s="19" t="n">
        <f aca="false">P225+M226*N226/12</f>
        <v>65334.2656330162</v>
      </c>
    </row>
    <row r="227" customFormat="false" ht="15" hidden="false" customHeight="false" outlineLevel="0" collapsed="false">
      <c r="A227" s="18" t="n">
        <v>226</v>
      </c>
      <c r="B227" s="18" t="n">
        <f aca="false">ROUNDUP(A227/12,0)</f>
        <v>19</v>
      </c>
      <c r="C227" s="17" t="n">
        <f aca="false">Předpoklady!$B$4</f>
        <v>4000</v>
      </c>
      <c r="D227" s="19" t="n">
        <f aca="false">(F226+C227)*(1+Předpoklady!$B$12)</f>
        <v>1741535.43159712</v>
      </c>
      <c r="E227" s="13" t="n">
        <f aca="false">INDEX(Předpoklady!$C$18:$C$21,MATCH(D227,Předpoklady!$A$18:$A$21,1))</f>
        <v>0.0036</v>
      </c>
      <c r="F227" s="19" t="n">
        <f aca="false">D227*(1-E227/12)</f>
        <v>1741012.97096764</v>
      </c>
      <c r="G227" s="19" t="n">
        <f aca="false">(G226+C227)*(1+Předpoklady!$B$12)*(1-Předpoklady!$B$9/12)</f>
        <v>1771227.01417361</v>
      </c>
      <c r="H227" s="19" t="n">
        <f aca="false">IF(AND(A227&gt;12,MOD(A227,12)=Předpoklady!$B$8),Předpoklady!$B$14,0)</f>
        <v>0</v>
      </c>
      <c r="I227" s="19" t="n">
        <f aca="false">I226+H227</f>
        <v>129600</v>
      </c>
      <c r="J227" s="19" t="n">
        <f aca="false">J226*(1+Předpoklady!$B$12)*(1-Předpoklady!$B$9/12)+H227</f>
        <v>245186.386018419</v>
      </c>
      <c r="K227" s="19" t="n">
        <f aca="false">K226+D227*E227/12</f>
        <v>56761.3224860013</v>
      </c>
      <c r="L227" s="19" t="n">
        <f aca="false">L226+((G226+C227)+J226)*(1+Předpoklady!$B$12)*Předpoklady!$B$9/12</f>
        <v>45734.7503676204</v>
      </c>
      <c r="M227" s="19" t="n">
        <f aca="false">(O226+C227)*(1+Předpoklady!$B$12)</f>
        <v>1726750.14143478</v>
      </c>
      <c r="N227" s="13" t="n">
        <f aca="false">INDEX(Předpoklady!$D$18:$D$21,MATCH(M227,Předpoklady!$A$18:$A$21,1))</f>
        <v>0.0042</v>
      </c>
      <c r="O227" s="19" t="n">
        <f aca="false">M227*(1-N227/12)</f>
        <v>1726145.77888528</v>
      </c>
      <c r="P227" s="19" t="n">
        <f aca="false">P226+M227*N227/12</f>
        <v>65938.6281825183</v>
      </c>
    </row>
    <row r="228" customFormat="false" ht="15" hidden="false" customHeight="false" outlineLevel="0" collapsed="false">
      <c r="A228" s="18" t="n">
        <v>227</v>
      </c>
      <c r="B228" s="18" t="n">
        <f aca="false">ROUNDUP(A228/12,0)</f>
        <v>19</v>
      </c>
      <c r="C228" s="17" t="n">
        <f aca="false">Předpoklady!$B$4</f>
        <v>4000</v>
      </c>
      <c r="D228" s="19" t="n">
        <f aca="false">(F227+C228)*(1+Předpoklady!$B$12)</f>
        <v>1754879.5280084</v>
      </c>
      <c r="E228" s="13" t="n">
        <f aca="false">INDEX(Předpoklady!$C$18:$C$21,MATCH(D228,Předpoklady!$A$18:$A$21,1))</f>
        <v>0.0036</v>
      </c>
      <c r="F228" s="19" t="n">
        <f aca="false">D228*(1-E228/12)</f>
        <v>1754353.06414999</v>
      </c>
      <c r="G228" s="19" t="n">
        <f aca="false">(G227+C228)*(1+Předpoklady!$B$12)*(1-Předpoklady!$B$9/12)</f>
        <v>1784818.08970594</v>
      </c>
      <c r="H228" s="19" t="n">
        <f aca="false">IF(AND(A228&gt;12,MOD(A228,12)=Předpoklady!$B$8),Předpoklady!$B$14,0)</f>
        <v>0</v>
      </c>
      <c r="I228" s="19" t="n">
        <f aca="false">I227+H228</f>
        <v>129600</v>
      </c>
      <c r="J228" s="19" t="n">
        <f aca="false">J227*(1+Předpoklady!$B$12)*(1-Předpoklady!$B$9/12)+H228</f>
        <v>246511.062315607</v>
      </c>
      <c r="K228" s="19" t="n">
        <f aca="false">K227+D228*E228/12</f>
        <v>57287.7863444038</v>
      </c>
      <c r="L228" s="19" t="n">
        <f aca="false">L227+((G227+C228)+J227)*(1+Předpoklady!$B$12)*Předpoklady!$B$9/12</f>
        <v>46242.7096454453</v>
      </c>
      <c r="M228" s="19" t="n">
        <f aca="false">(O227+C228)*(1+Předpoklady!$B$12)</f>
        <v>1739928.27466051</v>
      </c>
      <c r="N228" s="13" t="n">
        <f aca="false">INDEX(Předpoklady!$D$18:$D$21,MATCH(M228,Předpoklady!$A$18:$A$21,1))</f>
        <v>0.0042</v>
      </c>
      <c r="O228" s="19" t="n">
        <f aca="false">M228*(1-N228/12)</f>
        <v>1739319.29976437</v>
      </c>
      <c r="P228" s="19" t="n">
        <f aca="false">P227+M228*N228/12</f>
        <v>66547.6030786495</v>
      </c>
    </row>
    <row r="229" customFormat="false" ht="15" hidden="false" customHeight="false" outlineLevel="0" collapsed="false">
      <c r="A229" s="18" t="n">
        <v>228</v>
      </c>
      <c r="B229" s="18" t="n">
        <f aca="false">ROUNDUP(A229/12,0)</f>
        <v>19</v>
      </c>
      <c r="C229" s="17" t="n">
        <f aca="false">Předpoklady!$B$4</f>
        <v>4000</v>
      </c>
      <c r="D229" s="19" t="n">
        <f aca="false">(F228+C229)*(1+Předpoklady!$B$12)</f>
        <v>1768295.04801709</v>
      </c>
      <c r="E229" s="13" t="n">
        <f aca="false">INDEX(Předpoklady!$C$18:$C$21,MATCH(D229,Předpoklady!$A$18:$A$21,1))</f>
        <v>0.0036</v>
      </c>
      <c r="F229" s="19" t="n">
        <f aca="false">D229*(1-E229/12)</f>
        <v>1767764.55950268</v>
      </c>
      <c r="G229" s="19" t="n">
        <f aca="false">(G228+C229)*(1+Předpoklady!$B$12)*(1-Předpoklady!$B$9/12)</f>
        <v>1798482.59417494</v>
      </c>
      <c r="H229" s="19" t="n">
        <f aca="false">IF(AND(A229&gt;12,MOD(A229,12)=Předpoklady!$B$8),Předpoklady!$B$14,0)</f>
        <v>0</v>
      </c>
      <c r="I229" s="19" t="n">
        <f aca="false">I228+H229</f>
        <v>129600</v>
      </c>
      <c r="J229" s="19" t="n">
        <f aca="false">J228*(1+Předpoklady!$B$12)*(1-Předpoklady!$B$9/12)+H229</f>
        <v>247842.895483617</v>
      </c>
      <c r="K229" s="19" t="n">
        <f aca="false">K228+D229*E229/12</f>
        <v>57818.274858809</v>
      </c>
      <c r="L229" s="19" t="n">
        <f aca="false">L228+((G228+C229)+J228)*(1+Předpoklady!$B$12)*Předpoklady!$B$9/12</f>
        <v>46754.4189451848</v>
      </c>
      <c r="M229" s="19" t="n">
        <f aca="false">(O228+C229)*(1+Předpoklady!$B$12)</f>
        <v>1753176.28054191</v>
      </c>
      <c r="N229" s="13" t="n">
        <f aca="false">INDEX(Předpoklady!$D$18:$D$21,MATCH(M229,Předpoklady!$A$18:$A$21,1))</f>
        <v>0.0042</v>
      </c>
      <c r="O229" s="19" t="n">
        <f aca="false">M229*(1-N229/12)</f>
        <v>1752562.66884372</v>
      </c>
      <c r="P229" s="19" t="n">
        <f aca="false">P228+M229*N229/12</f>
        <v>67161.2147768392</v>
      </c>
    </row>
    <row r="230" customFormat="false" ht="15" hidden="false" customHeight="false" outlineLevel="0" collapsed="false">
      <c r="A230" s="18" t="n">
        <v>229</v>
      </c>
      <c r="B230" s="18" t="n">
        <f aca="false">ROUNDUP(A230/12,0)</f>
        <v>20</v>
      </c>
      <c r="C230" s="17" t="n">
        <f aca="false">Předpoklady!$B$4</f>
        <v>4000</v>
      </c>
      <c r="D230" s="19" t="n">
        <f aca="false">(F229+C230)*(1+Předpoklady!$B$12)</f>
        <v>1781782.37391436</v>
      </c>
      <c r="E230" s="13" t="n">
        <f aca="false">INDEX(Předpoklady!$C$18:$C$21,MATCH(D230,Předpoklady!$A$18:$A$21,1))</f>
        <v>0.0036</v>
      </c>
      <c r="F230" s="19" t="n">
        <f aca="false">D230*(1-E230/12)</f>
        <v>1781247.83920219</v>
      </c>
      <c r="G230" s="19" t="n">
        <f aca="false">(G229+C230)*(1+Předpoklady!$B$12)*(1-Předpoklady!$B$9/12)</f>
        <v>1812220.92429747</v>
      </c>
      <c r="H230" s="19" t="n">
        <f aca="false">IF(AND(A230&gt;12,MOD(A230,12)=Předpoklady!$B$8),Předpoklady!$B$14,0)</f>
        <v>0</v>
      </c>
      <c r="I230" s="19" t="n">
        <f aca="false">I229+H230</f>
        <v>129600</v>
      </c>
      <c r="J230" s="19" t="n">
        <f aca="false">J229*(1+Předpoklady!$B$12)*(1-Předpoklady!$B$9/12)+H230</f>
        <v>249181.924189105</v>
      </c>
      <c r="K230" s="19" t="n">
        <f aca="false">K229+D230*E230/12</f>
        <v>58352.8095709833</v>
      </c>
      <c r="L230" s="19" t="n">
        <f aca="false">L229+((G229+C230)+J229)*(1+Předpoklady!$B$12)*Předpoklady!$B$9/12</f>
        <v>47269.898527202</v>
      </c>
      <c r="M230" s="19" t="n">
        <f aca="false">(O229+C230)*(1+Předpoklady!$B$12)</f>
        <v>1766494.52955545</v>
      </c>
      <c r="N230" s="13" t="n">
        <f aca="false">INDEX(Předpoklady!$D$18:$D$21,MATCH(M230,Předpoklady!$A$18:$A$21,1))</f>
        <v>0.0042</v>
      </c>
      <c r="O230" s="19" t="n">
        <f aca="false">M230*(1-N230/12)</f>
        <v>1765876.25647011</v>
      </c>
      <c r="P230" s="19" t="n">
        <f aca="false">P229+M230*N230/12</f>
        <v>67779.4878621836</v>
      </c>
    </row>
    <row r="231" customFormat="false" ht="15" hidden="false" customHeight="false" outlineLevel="0" collapsed="false">
      <c r="A231" s="18" t="n">
        <v>230</v>
      </c>
      <c r="B231" s="18" t="n">
        <f aca="false">ROUNDUP(A231/12,0)</f>
        <v>20</v>
      </c>
      <c r="C231" s="17" t="n">
        <f aca="false">Předpoklady!$B$4</f>
        <v>4000</v>
      </c>
      <c r="D231" s="19" t="n">
        <f aca="false">(F230+C231)*(1+Předpoklady!$B$12)</f>
        <v>1795341.89003759</v>
      </c>
      <c r="E231" s="13" t="n">
        <f aca="false">INDEX(Předpoklady!$C$18:$C$21,MATCH(D231,Předpoklady!$A$18:$A$21,1))</f>
        <v>0.0036</v>
      </c>
      <c r="F231" s="19" t="n">
        <f aca="false">D231*(1-E231/12)</f>
        <v>1794803.28747058</v>
      </c>
      <c r="G231" s="19" t="n">
        <f aca="false">(G230+C231)*(1+Předpoklady!$B$12)*(1-Předpoklady!$B$9/12)</f>
        <v>1826033.47893373</v>
      </c>
      <c r="H231" s="19" t="n">
        <f aca="false">IF(AND(A231&gt;12,MOD(A231,12)=Předpoklady!$B$8),Předpoklady!$B$14,0)</f>
        <v>0</v>
      </c>
      <c r="I231" s="19" t="n">
        <f aca="false">I230+H231</f>
        <v>129600</v>
      </c>
      <c r="J231" s="19" t="n">
        <f aca="false">J230*(1+Předpoklady!$B$12)*(1-Předpoklady!$B$9/12)+H231</f>
        <v>250528.18730763</v>
      </c>
      <c r="K231" s="19" t="n">
        <f aca="false">K230+D231*E231/12</f>
        <v>58891.4121379945</v>
      </c>
      <c r="L231" s="19" t="n">
        <f aca="false">L230+((G230+C231)+J230)*(1+Předpoklady!$B$12)*Předpoklady!$B$9/12</f>
        <v>47789.1687613208</v>
      </c>
      <c r="M231" s="19" t="n">
        <f aca="false">(O230+C231)*(1+Předpoklady!$B$12)</f>
        <v>1779883.39414191</v>
      </c>
      <c r="N231" s="13" t="n">
        <f aca="false">INDEX(Předpoklady!$D$18:$D$21,MATCH(M231,Předpoklady!$A$18:$A$21,1))</f>
        <v>0.0042</v>
      </c>
      <c r="O231" s="19" t="n">
        <f aca="false">M231*(1-N231/12)</f>
        <v>1779260.43495396</v>
      </c>
      <c r="P231" s="19" t="n">
        <f aca="false">P230+M231*N231/12</f>
        <v>68402.4470501333</v>
      </c>
    </row>
    <row r="232" customFormat="false" ht="15" hidden="false" customHeight="false" outlineLevel="0" collapsed="false">
      <c r="A232" s="18" t="n">
        <v>231</v>
      </c>
      <c r="B232" s="18" t="n">
        <f aca="false">ROUNDUP(A232/12,0)</f>
        <v>20</v>
      </c>
      <c r="C232" s="17" t="n">
        <f aca="false">Předpoklady!$B$4</f>
        <v>4000</v>
      </c>
      <c r="D232" s="19" t="n">
        <f aca="false">(F231+C232)*(1+Předpoklady!$B$12)</f>
        <v>1808973.98278128</v>
      </c>
      <c r="E232" s="13" t="n">
        <f aca="false">INDEX(Předpoklady!$C$18:$C$21,MATCH(D232,Předpoklady!$A$18:$A$21,1))</f>
        <v>0.0036</v>
      </c>
      <c r="F232" s="19" t="n">
        <f aca="false">D232*(1-E232/12)</f>
        <v>1808431.29058644</v>
      </c>
      <c r="G232" s="19" t="n">
        <f aca="false">(G231+C232)*(1+Předpoklady!$B$12)*(1-Předpoklady!$B$9/12)</f>
        <v>1839920.65909887</v>
      </c>
      <c r="H232" s="19" t="n">
        <f aca="false">IF(AND(A232&gt;12,MOD(A232,12)=Předpoklady!$B$8),Předpoklady!$B$14,0)</f>
        <v>0</v>
      </c>
      <c r="I232" s="19" t="n">
        <f aca="false">I231+H232</f>
        <v>129600</v>
      </c>
      <c r="J232" s="19" t="n">
        <f aca="false">J231*(1+Předpoklady!$B$12)*(1-Předpoklady!$B$9/12)+H232</f>
        <v>251881.723924785</v>
      </c>
      <c r="K232" s="19" t="n">
        <f aca="false">K231+D232*E232/12</f>
        <v>59434.1043328289</v>
      </c>
      <c r="L232" s="19" t="n">
        <f aca="false">L231+((G231+C232)+J231)*(1+Předpoklady!$B$12)*Předpoklady!$B$9/12</f>
        <v>48312.2501274183</v>
      </c>
      <c r="M232" s="19" t="n">
        <f aca="false">(O231+C232)*(1+Předpoklady!$B$12)</f>
        <v>1793343.2487168</v>
      </c>
      <c r="N232" s="13" t="n">
        <f aca="false">INDEX(Předpoklady!$D$18:$D$21,MATCH(M232,Předpoklady!$A$18:$A$21,1))</f>
        <v>0.0042</v>
      </c>
      <c r="O232" s="19" t="n">
        <f aca="false">M232*(1-N232/12)</f>
        <v>1792715.57857974</v>
      </c>
      <c r="P232" s="19" t="n">
        <f aca="false">P231+M232*N232/12</f>
        <v>69030.1171871841</v>
      </c>
    </row>
    <row r="233" customFormat="false" ht="15" hidden="false" customHeight="false" outlineLevel="0" collapsed="false">
      <c r="A233" s="18" t="n">
        <v>232</v>
      </c>
      <c r="B233" s="18" t="n">
        <f aca="false">ROUNDUP(A233/12,0)</f>
        <v>20</v>
      </c>
      <c r="C233" s="17" t="n">
        <f aca="false">Předpoklady!$B$4</f>
        <v>4000</v>
      </c>
      <c r="D233" s="19" t="n">
        <f aca="false">(F232+C233)*(1+Předpoklady!$B$12)</f>
        <v>1822679.0406081</v>
      </c>
      <c r="E233" s="13" t="n">
        <f aca="false">INDEX(Předpoklady!$C$18:$C$21,MATCH(D233,Předpoklady!$A$18:$A$21,1))</f>
        <v>0.0036</v>
      </c>
      <c r="F233" s="19" t="n">
        <f aca="false">D233*(1-E233/12)</f>
        <v>1822132.23689592</v>
      </c>
      <c r="G233" s="19" t="n">
        <f aca="false">(G232+C233)*(1+Předpoklady!$B$12)*(1-Předpoklady!$B$9/12)</f>
        <v>1853882.86797461</v>
      </c>
      <c r="H233" s="19" t="n">
        <f aca="false">IF(AND(A233&gt;12,MOD(A233,12)=Předpoklady!$B$8),Předpoklady!$B$14,0)</f>
        <v>7200</v>
      </c>
      <c r="I233" s="19" t="n">
        <f aca="false">I232+H233</f>
        <v>136800</v>
      </c>
      <c r="J233" s="19" t="n">
        <f aca="false">J232*(1+Předpoklady!$B$12)*(1-Předpoklady!$B$9/12)+H233</f>
        <v>260442.573337333</v>
      </c>
      <c r="K233" s="19" t="n">
        <f aca="false">K232+D233*E233/12</f>
        <v>59980.9080450114</v>
      </c>
      <c r="L233" s="19" t="n">
        <f aca="false">L232+((G232+C233)+J232)*(1+Předpoklady!$B$12)*Předpoklady!$B$9/12</f>
        <v>48839.1632160184</v>
      </c>
      <c r="M233" s="19" t="n">
        <f aca="false">(O232+C233)*(1+Předpoklady!$B$12)</f>
        <v>1806874.46968085</v>
      </c>
      <c r="N233" s="13" t="n">
        <f aca="false">INDEX(Předpoklady!$D$18:$D$21,MATCH(M233,Předpoklady!$A$18:$A$21,1))</f>
        <v>0.0042</v>
      </c>
      <c r="O233" s="19" t="n">
        <f aca="false">M233*(1-N233/12)</f>
        <v>1806242.06361646</v>
      </c>
      <c r="P233" s="19" t="n">
        <f aca="false">P232+M233*N233/12</f>
        <v>69662.5232515724</v>
      </c>
    </row>
    <row r="234" customFormat="false" ht="15" hidden="false" customHeight="false" outlineLevel="0" collapsed="false">
      <c r="A234" s="18" t="n">
        <v>233</v>
      </c>
      <c r="B234" s="18" t="n">
        <f aca="false">ROUNDUP(A234/12,0)</f>
        <v>20</v>
      </c>
      <c r="C234" s="17" t="n">
        <f aca="false">Předpoklady!$B$4</f>
        <v>4000</v>
      </c>
      <c r="D234" s="19" t="n">
        <f aca="false">(F233+C234)*(1+Předpoklady!$B$12)</f>
        <v>1836457.45405996</v>
      </c>
      <c r="E234" s="13" t="n">
        <f aca="false">INDEX(Předpoklady!$C$18:$C$21,MATCH(D234,Předpoklady!$A$18:$A$21,1))</f>
        <v>0.0036</v>
      </c>
      <c r="F234" s="19" t="n">
        <f aca="false">D234*(1-E234/12)</f>
        <v>1835906.51682374</v>
      </c>
      <c r="G234" s="19" t="n">
        <f aca="false">(G233+C234)*(1+Předpoklady!$B$12)*(1-Předpoklady!$B$9/12)</f>
        <v>1867920.51092095</v>
      </c>
      <c r="H234" s="19" t="n">
        <f aca="false">IF(AND(A234&gt;12,MOD(A234,12)=Předpoklady!$B$8),Předpoklady!$B$14,0)</f>
        <v>0</v>
      </c>
      <c r="I234" s="19" t="n">
        <f aca="false">I233+H234</f>
        <v>136800</v>
      </c>
      <c r="J234" s="19" t="n">
        <f aca="false">J233*(1+Předpoklady!$B$12)*(1-Předpoklady!$B$9/12)+H234</f>
        <v>261849.674723674</v>
      </c>
      <c r="K234" s="19" t="n">
        <f aca="false">K233+D234*E234/12</f>
        <v>60531.8452812293</v>
      </c>
      <c r="L234" s="19" t="n">
        <f aca="false">L233+((G233+C234)+J233)*(1+Předpoklady!$B$12)*Předpoklady!$B$9/12</f>
        <v>49371.7389063522</v>
      </c>
      <c r="M234" s="19" t="n">
        <f aca="false">(O233+C234)*(1+Předpoklady!$B$12)</f>
        <v>1820477.43543055</v>
      </c>
      <c r="N234" s="13" t="n">
        <f aca="false">INDEX(Předpoklady!$D$18:$D$21,MATCH(M234,Předpoklady!$A$18:$A$21,1))</f>
        <v>0.0042</v>
      </c>
      <c r="O234" s="19" t="n">
        <f aca="false">M234*(1-N234/12)</f>
        <v>1819840.26832815</v>
      </c>
      <c r="P234" s="19" t="n">
        <f aca="false">P233+M234*N234/12</f>
        <v>70299.6903539731</v>
      </c>
    </row>
    <row r="235" customFormat="false" ht="15" hidden="false" customHeight="false" outlineLevel="0" collapsed="false">
      <c r="A235" s="18" t="n">
        <v>234</v>
      </c>
      <c r="B235" s="18" t="n">
        <f aca="false">ROUNDUP(A235/12,0)</f>
        <v>20</v>
      </c>
      <c r="C235" s="17" t="n">
        <f aca="false">Předpoklady!$B$4</f>
        <v>4000</v>
      </c>
      <c r="D235" s="19" t="n">
        <f aca="false">(F234+C235)*(1+Předpoklady!$B$12)</f>
        <v>1850309.61576909</v>
      </c>
      <c r="E235" s="13" t="n">
        <f aca="false">INDEX(Předpoklady!$C$18:$C$21,MATCH(D235,Předpoklady!$A$18:$A$21,1))</f>
        <v>0.0036</v>
      </c>
      <c r="F235" s="19" t="n">
        <f aca="false">D235*(1-E235/12)</f>
        <v>1849754.52288436</v>
      </c>
      <c r="G235" s="19" t="n">
        <f aca="false">(G234+C235)*(1+Předpoklady!$B$12)*(1-Předpoklady!$B$9/12)</f>
        <v>1882033.99548795</v>
      </c>
      <c r="H235" s="19" t="n">
        <f aca="false">IF(AND(A235&gt;12,MOD(A235,12)=Předpoklady!$B$8),Předpoklady!$B$14,0)</f>
        <v>0</v>
      </c>
      <c r="I235" s="19" t="n">
        <f aca="false">I234+H235</f>
        <v>136800</v>
      </c>
      <c r="J235" s="19" t="n">
        <f aca="false">J234*(1+Předpoklady!$B$12)*(1-Předpoklady!$B$9/12)+H235</f>
        <v>263264.378301493</v>
      </c>
      <c r="K235" s="19" t="n">
        <f aca="false">K234+D235*E235/12</f>
        <v>61086.9381659601</v>
      </c>
      <c r="L235" s="19" t="n">
        <f aca="false">L234+((G234+C235)+J234)*(1+Předpoklady!$B$12)*Předpoklady!$B$9/12</f>
        <v>49908.1976144766</v>
      </c>
      <c r="M235" s="19" t="n">
        <f aca="false">(O234+C235)*(1+Předpoklady!$B$12)</f>
        <v>1834152.52636868</v>
      </c>
      <c r="N235" s="13" t="n">
        <f aca="false">INDEX(Předpoklady!$D$18:$D$21,MATCH(M235,Předpoklady!$A$18:$A$21,1))</f>
        <v>0.0042</v>
      </c>
      <c r="O235" s="19" t="n">
        <f aca="false">M235*(1-N235/12)</f>
        <v>1833510.57298445</v>
      </c>
      <c r="P235" s="19" t="n">
        <f aca="false">P234+M235*N235/12</f>
        <v>70941.6437382022</v>
      </c>
    </row>
    <row r="236" customFormat="false" ht="15" hidden="false" customHeight="false" outlineLevel="0" collapsed="false">
      <c r="A236" s="18" t="n">
        <v>235</v>
      </c>
      <c r="B236" s="18" t="n">
        <f aca="false">ROUNDUP(A236/12,0)</f>
        <v>20</v>
      </c>
      <c r="C236" s="17" t="n">
        <f aca="false">Předpoklady!$B$4</f>
        <v>4000</v>
      </c>
      <c r="D236" s="19" t="n">
        <f aca="false">(F235+C236)*(1+Předpoklady!$B$12)</f>
        <v>1864235.92046931</v>
      </c>
      <c r="E236" s="13" t="n">
        <f aca="false">INDEX(Předpoklady!$C$18:$C$21,MATCH(D236,Předpoklady!$A$18:$A$21,1))</f>
        <v>0.0036</v>
      </c>
      <c r="F236" s="19" t="n">
        <f aca="false">D236*(1-E236/12)</f>
        <v>1863676.64969317</v>
      </c>
      <c r="G236" s="19" t="n">
        <f aca="false">(G235+C236)*(1+Předpoklady!$B$12)*(1-Předpoklady!$B$9/12)</f>
        <v>1896223.73142756</v>
      </c>
      <c r="H236" s="19" t="n">
        <f aca="false">IF(AND(A236&gt;12,MOD(A236,12)=Předpoklady!$B$8),Předpoklady!$B$14,0)</f>
        <v>0</v>
      </c>
      <c r="I236" s="19" t="n">
        <f aca="false">I235+H236</f>
        <v>136800</v>
      </c>
      <c r="J236" s="19" t="n">
        <f aca="false">J235*(1+Předpoklady!$B$12)*(1-Předpoklady!$B$9/12)+H236</f>
        <v>264686.725143391</v>
      </c>
      <c r="K236" s="19" t="n">
        <f aca="false">K235+D236*E236/12</f>
        <v>61646.2089421009</v>
      </c>
      <c r="L236" s="19" t="n">
        <f aca="false">L235+((G235+C236)+J235)*(1+Předpoklady!$B$12)*Předpoklady!$B$9/12</f>
        <v>50448.5603192955</v>
      </c>
      <c r="M236" s="19" t="n">
        <f aca="false">(O235+C236)*(1+Předpoklady!$B$12)</f>
        <v>1847900.124915</v>
      </c>
      <c r="N236" s="13" t="n">
        <f aca="false">INDEX(Předpoklady!$D$18:$D$21,MATCH(M236,Předpoklady!$A$18:$A$21,1))</f>
        <v>0.0042</v>
      </c>
      <c r="O236" s="19" t="n">
        <f aca="false">M236*(1-N236/12)</f>
        <v>1847253.35987128</v>
      </c>
      <c r="P236" s="19" t="n">
        <f aca="false">P235+M236*N236/12</f>
        <v>71588.4087819224</v>
      </c>
    </row>
    <row r="237" customFormat="false" ht="15" hidden="false" customHeight="false" outlineLevel="0" collapsed="false">
      <c r="A237" s="18" t="n">
        <v>236</v>
      </c>
      <c r="B237" s="18" t="n">
        <f aca="false">ROUNDUP(A237/12,0)</f>
        <v>20</v>
      </c>
      <c r="C237" s="17" t="n">
        <f aca="false">Předpoklady!$B$4</f>
        <v>4000</v>
      </c>
      <c r="D237" s="19" t="n">
        <f aca="false">(F236+C237)*(1+Předpoklady!$B$12)</f>
        <v>1878236.7650072</v>
      </c>
      <c r="E237" s="13" t="n">
        <f aca="false">INDEX(Předpoklady!$C$18:$C$21,MATCH(D237,Předpoklady!$A$18:$A$21,1))</f>
        <v>0.0036</v>
      </c>
      <c r="F237" s="19" t="n">
        <f aca="false">D237*(1-E237/12)</f>
        <v>1877673.2939777</v>
      </c>
      <c r="G237" s="19" t="n">
        <f aca="false">(G236+C237)*(1+Předpoklady!$B$12)*(1-Předpoklady!$B$9/12)</f>
        <v>1910490.13070548</v>
      </c>
      <c r="H237" s="19" t="n">
        <f aca="false">IF(AND(A237&gt;12,MOD(A237,12)=Předpoklady!$B$8),Předpoklady!$B$14,0)</f>
        <v>0</v>
      </c>
      <c r="I237" s="19" t="n">
        <f aca="false">I236+H237</f>
        <v>136800</v>
      </c>
      <c r="J237" s="19" t="n">
        <f aca="false">J236*(1+Předpoklady!$B$12)*(1-Předpoklady!$B$9/12)+H237</f>
        <v>266116.756543876</v>
      </c>
      <c r="K237" s="19" t="n">
        <f aca="false">K236+D237*E237/12</f>
        <v>62209.679971603</v>
      </c>
      <c r="L237" s="19" t="n">
        <f aca="false">L236+((G236+C237)+J236)*(1+Předpoklady!$B$12)*Předpoklady!$B$9/12</f>
        <v>50992.8481130563</v>
      </c>
      <c r="M237" s="19" t="n">
        <f aca="false">(O236+C237)*(1+Předpoklady!$B$12)</f>
        <v>1861720.61551691</v>
      </c>
      <c r="N237" s="13" t="n">
        <f aca="false">INDEX(Předpoklady!$D$18:$D$21,MATCH(M237,Předpoklady!$A$18:$A$21,1))</f>
        <v>0.0042</v>
      </c>
      <c r="O237" s="19" t="n">
        <f aca="false">M237*(1-N237/12)</f>
        <v>1861069.01330148</v>
      </c>
      <c r="P237" s="19" t="n">
        <f aca="false">P236+M237*N237/12</f>
        <v>72240.0109973533</v>
      </c>
    </row>
    <row r="238" customFormat="false" ht="15" hidden="false" customHeight="false" outlineLevel="0" collapsed="false">
      <c r="A238" s="18" t="n">
        <v>237</v>
      </c>
      <c r="B238" s="18" t="n">
        <f aca="false">ROUNDUP(A238/12,0)</f>
        <v>20</v>
      </c>
      <c r="C238" s="17" t="n">
        <f aca="false">Předpoklady!$B$4</f>
        <v>4000</v>
      </c>
      <c r="D238" s="19" t="n">
        <f aca="false">(F237+C238)*(1+Předpoklady!$B$12)</f>
        <v>1892312.54835344</v>
      </c>
      <c r="E238" s="13" t="n">
        <f aca="false">INDEX(Předpoklady!$C$18:$C$21,MATCH(D238,Předpoklady!$A$18:$A$21,1))</f>
        <v>0.0036</v>
      </c>
      <c r="F238" s="19" t="n">
        <f aca="false">D238*(1-E238/12)</f>
        <v>1891744.85458894</v>
      </c>
      <c r="G238" s="19" t="n">
        <f aca="false">(G237+C238)*(1+Předpoklady!$B$12)*(1-Předpoklady!$B$9/12)</f>
        <v>1924833.60751318</v>
      </c>
      <c r="H238" s="19" t="n">
        <f aca="false">IF(AND(A238&gt;12,MOD(A238,12)=Předpoklady!$B$8),Předpoklady!$B$14,0)</f>
        <v>0</v>
      </c>
      <c r="I238" s="19" t="n">
        <f aca="false">I237+H238</f>
        <v>136800</v>
      </c>
      <c r="J238" s="19" t="n">
        <f aca="false">J237*(1+Předpoklady!$B$12)*(1-Předpoklady!$B$9/12)+H238</f>
        <v>267554.514020556</v>
      </c>
      <c r="K238" s="19" t="n">
        <f aca="false">K237+D238*E238/12</f>
        <v>62777.3737361091</v>
      </c>
      <c r="L238" s="19" t="n">
        <f aca="false">L237+((G237+C238)+J237)*(1+Předpoklady!$B$12)*Předpoklady!$B$9/12</f>
        <v>51541.0822019619</v>
      </c>
      <c r="M238" s="19" t="n">
        <f aca="false">(O237+C238)*(1+Předpoklady!$B$12)</f>
        <v>1875614.38466023</v>
      </c>
      <c r="N238" s="13" t="n">
        <f aca="false">INDEX(Předpoklady!$D$18:$D$21,MATCH(M238,Předpoklady!$A$18:$A$21,1))</f>
        <v>0.0042</v>
      </c>
      <c r="O238" s="19" t="n">
        <f aca="false">M238*(1-N238/12)</f>
        <v>1874957.9196256</v>
      </c>
      <c r="P238" s="19" t="n">
        <f aca="false">P237+M238*N238/12</f>
        <v>72896.4760319844</v>
      </c>
    </row>
    <row r="239" customFormat="false" ht="15" hidden="false" customHeight="false" outlineLevel="0" collapsed="false">
      <c r="A239" s="18" t="n">
        <v>238</v>
      </c>
      <c r="B239" s="18" t="n">
        <f aca="false">ROUNDUP(A239/12,0)</f>
        <v>20</v>
      </c>
      <c r="C239" s="17" t="n">
        <f aca="false">Předpoklady!$B$4</f>
        <v>4000</v>
      </c>
      <c r="D239" s="19" t="n">
        <f aca="false">(F238+C239)*(1+Předpoklady!$B$12)</f>
        <v>1906463.67161421</v>
      </c>
      <c r="E239" s="13" t="n">
        <f aca="false">INDEX(Předpoklady!$C$18:$C$21,MATCH(D239,Předpoklady!$A$18:$A$21,1))</f>
        <v>0.0036</v>
      </c>
      <c r="F239" s="19" t="n">
        <f aca="false">D239*(1-E239/12)</f>
        <v>1905891.73251273</v>
      </c>
      <c r="G239" s="19" t="n">
        <f aca="false">(G238+C239)*(1+Předpoklady!$B$12)*(1-Předpoklady!$B$9/12)</f>
        <v>1939254.57827988</v>
      </c>
      <c r="H239" s="19" t="n">
        <f aca="false">IF(AND(A239&gt;12,MOD(A239,12)=Předpoklady!$B$8),Předpoklady!$B$14,0)</f>
        <v>0</v>
      </c>
      <c r="I239" s="19" t="n">
        <f aca="false">I238+H239</f>
        <v>136800</v>
      </c>
      <c r="J239" s="19" t="n">
        <f aca="false">J238*(1+Předpoklady!$B$12)*(1-Předpoklady!$B$9/12)+H239</f>
        <v>269000.039315349</v>
      </c>
      <c r="K239" s="19" t="n">
        <f aca="false">K238+D239*E239/12</f>
        <v>63349.3128375933</v>
      </c>
      <c r="L239" s="19" t="n">
        <f aca="false">L238+((G238+C239)+J238)*(1+Předpoklady!$B$12)*Předpoklady!$B$9/12</f>
        <v>52093.2839067869</v>
      </c>
      <c r="M239" s="19" t="n">
        <f aca="false">(O238+C239)*(1+Předpoklady!$B$12)</f>
        <v>1889581.82087998</v>
      </c>
      <c r="N239" s="13" t="n">
        <f aca="false">INDEX(Předpoklady!$D$18:$D$21,MATCH(M239,Předpoklady!$A$18:$A$21,1))</f>
        <v>0.0042</v>
      </c>
      <c r="O239" s="19" t="n">
        <f aca="false">M239*(1-N239/12)</f>
        <v>1888920.46724267</v>
      </c>
      <c r="P239" s="19" t="n">
        <f aca="false">P238+M239*N239/12</f>
        <v>73557.8296692924</v>
      </c>
    </row>
    <row r="240" customFormat="false" ht="15" hidden="false" customHeight="false" outlineLevel="0" collapsed="false">
      <c r="A240" s="18" t="n">
        <v>239</v>
      </c>
      <c r="B240" s="18" t="n">
        <f aca="false">ROUNDUP(A240/12,0)</f>
        <v>20</v>
      </c>
      <c r="C240" s="17" t="n">
        <f aca="false">Předpoklady!$B$4</f>
        <v>4000</v>
      </c>
      <c r="D240" s="19" t="n">
        <f aca="false">(F239+C240)*(1+Předpoklady!$B$12)</f>
        <v>1920690.53804256</v>
      </c>
      <c r="E240" s="13" t="n">
        <f aca="false">INDEX(Předpoklady!$C$18:$C$21,MATCH(D240,Předpoklady!$A$18:$A$21,1))</f>
        <v>0.0036</v>
      </c>
      <c r="F240" s="19" t="n">
        <f aca="false">D240*(1-E240/12)</f>
        <v>1920114.33088114</v>
      </c>
      <c r="G240" s="19" t="n">
        <f aca="false">(G239+C240)*(1+Předpoklady!$B$12)*(1-Předpoklady!$B$9/12)</f>
        <v>1953753.46168467</v>
      </c>
      <c r="H240" s="19" t="n">
        <f aca="false">IF(AND(A240&gt;12,MOD(A240,12)=Předpoklady!$B$8),Předpoklady!$B$14,0)</f>
        <v>0</v>
      </c>
      <c r="I240" s="19" t="n">
        <f aca="false">I239+H240</f>
        <v>136800</v>
      </c>
      <c r="J240" s="19" t="n">
        <f aca="false">J239*(1+Předpoklady!$B$12)*(1-Předpoklady!$B$9/12)+H240</f>
        <v>270453.374395694</v>
      </c>
      <c r="K240" s="19" t="n">
        <f aca="false">K239+D240*E240/12</f>
        <v>63925.5199990061</v>
      </c>
      <c r="L240" s="19" t="n">
        <f aca="false">L239+((G239+C240)+J239)*(1+Předpoklady!$B$12)*Předpoklady!$B$9/12</f>
        <v>52649.4746634962</v>
      </c>
      <c r="M240" s="19" t="n">
        <f aca="false">(O239+C240)*(1+Předpoklady!$B$12)</f>
        <v>1903623.31477126</v>
      </c>
      <c r="N240" s="13" t="n">
        <f aca="false">INDEX(Předpoklady!$D$18:$D$21,MATCH(M240,Předpoklady!$A$18:$A$21,1))</f>
        <v>0.0042</v>
      </c>
      <c r="O240" s="19" t="n">
        <f aca="false">M240*(1-N240/12)</f>
        <v>1902957.04661109</v>
      </c>
      <c r="P240" s="19" t="n">
        <f aca="false">P239+M240*N240/12</f>
        <v>74224.0978294624</v>
      </c>
    </row>
    <row r="241" customFormat="false" ht="15" hidden="false" customHeight="false" outlineLevel="0" collapsed="false">
      <c r="A241" s="18" t="n">
        <v>240</v>
      </c>
      <c r="B241" s="18" t="n">
        <f aca="false">ROUNDUP(A241/12,0)</f>
        <v>20</v>
      </c>
      <c r="C241" s="17" t="n">
        <f aca="false">Předpoklady!$B$4</f>
        <v>4000</v>
      </c>
      <c r="D241" s="19" t="n">
        <f aca="false">(F240+C241)*(1+Předpoklady!$B$12)</f>
        <v>1934993.55304993</v>
      </c>
      <c r="E241" s="13" t="n">
        <f aca="false">INDEX(Předpoklady!$C$18:$C$21,MATCH(D241,Předpoklady!$A$18:$A$21,1))</f>
        <v>0.0036</v>
      </c>
      <c r="F241" s="19" t="n">
        <f aca="false">D241*(1-E241/12)</f>
        <v>1934413.05498402</v>
      </c>
      <c r="G241" s="19" t="n">
        <f aca="false">(G240+C241)*(1+Předpoklady!$B$12)*(1-Předpoklady!$B$9/12)</f>
        <v>1968330.67866863</v>
      </c>
      <c r="H241" s="19" t="n">
        <f aca="false">IF(AND(A241&gt;12,MOD(A241,12)=Předpoklady!$B$8),Předpoklady!$B$14,0)</f>
        <v>0</v>
      </c>
      <c r="I241" s="19" t="n">
        <f aca="false">I240+H241</f>
        <v>136800</v>
      </c>
      <c r="J241" s="19" t="n">
        <f aca="false">J240*(1+Předpoklady!$B$12)*(1-Předpoklady!$B$9/12)+H241</f>
        <v>271914.561455768</v>
      </c>
      <c r="K241" s="19" t="n">
        <f aca="false">K240+D241*E241/12</f>
        <v>64506.0180649211</v>
      </c>
      <c r="L241" s="19" t="n">
        <f aca="false">L240+((G240+C241)+J240)*(1+Předpoklady!$B$12)*Předpoklady!$B$9/12</f>
        <v>53209.6760238674</v>
      </c>
      <c r="M241" s="19" t="n">
        <f aca="false">(O240+C241)*(1+Předpoklady!$B$12)</f>
        <v>1917739.25900016</v>
      </c>
      <c r="N241" s="13" t="n">
        <f aca="false">INDEX(Předpoklady!$D$18:$D$21,MATCH(M241,Předpoklady!$A$18:$A$21,1))</f>
        <v>0.0042</v>
      </c>
      <c r="O241" s="19" t="n">
        <f aca="false">M241*(1-N241/12)</f>
        <v>1917068.05025951</v>
      </c>
      <c r="P241" s="19" t="n">
        <f aca="false">P240+M241*N241/12</f>
        <v>74895.3065701124</v>
      </c>
    </row>
    <row r="242" customFormat="false" ht="15" hidden="false" customHeight="false" outlineLevel="0" collapsed="false">
      <c r="A242" s="18" t="n">
        <v>241</v>
      </c>
      <c r="B242" s="18" t="n">
        <f aca="false">ROUNDUP(A242/12,0)</f>
        <v>21</v>
      </c>
      <c r="C242" s="17" t="n">
        <f aca="false">Předpoklady!$B$4</f>
        <v>4000</v>
      </c>
      <c r="D242" s="19" t="n">
        <f aca="false">(F241+C242)*(1+Předpoklady!$B$12)</f>
        <v>1949373.12421774</v>
      </c>
      <c r="E242" s="13" t="n">
        <f aca="false">INDEX(Předpoklady!$C$18:$C$21,MATCH(D242,Předpoklady!$A$18:$A$21,1))</f>
        <v>0.0036</v>
      </c>
      <c r="F242" s="19" t="n">
        <f aca="false">D242*(1-E242/12)</f>
        <v>1948788.31228048</v>
      </c>
      <c r="G242" s="19" t="n">
        <f aca="false">(G241+C242)*(1+Předpoklady!$B$12)*(1-Předpoklady!$B$9/12)</f>
        <v>1982986.65244709</v>
      </c>
      <c r="H242" s="19" t="n">
        <f aca="false">IF(AND(A242&gt;12,MOD(A242,12)=Předpoklady!$B$8),Předpoklady!$B$14,0)</f>
        <v>0</v>
      </c>
      <c r="I242" s="19" t="n">
        <f aca="false">I241+H242</f>
        <v>136800</v>
      </c>
      <c r="J242" s="19" t="n">
        <f aca="false">J241*(1+Předpoklady!$B$12)*(1-Předpoklady!$B$9/12)+H242</f>
        <v>273383.642917712</v>
      </c>
      <c r="K242" s="19" t="n">
        <f aca="false">K241+D242*E242/12</f>
        <v>65090.8300021864</v>
      </c>
      <c r="L242" s="19" t="n">
        <f aca="false">L241+((G241+C242)+J241)*(1+Předpoklady!$B$12)*Předpoklady!$B$9/12</f>
        <v>53773.9096561167</v>
      </c>
      <c r="M242" s="19" t="n">
        <f aca="false">(O241+C242)*(1+Předpoklady!$B$12)</f>
        <v>1931930.04831478</v>
      </c>
      <c r="N242" s="13" t="n">
        <f aca="false">INDEX(Předpoklady!$D$18:$D$21,MATCH(M242,Předpoklady!$A$18:$A$21,1))</f>
        <v>0.0042</v>
      </c>
      <c r="O242" s="19" t="n">
        <f aca="false">M242*(1-N242/12)</f>
        <v>1931253.87279787</v>
      </c>
      <c r="P242" s="19" t="n">
        <f aca="false">P241+M242*N242/12</f>
        <v>75571.4820870226</v>
      </c>
    </row>
    <row r="243" customFormat="false" ht="15" hidden="false" customHeight="false" outlineLevel="0" collapsed="false">
      <c r="A243" s="18" t="n">
        <v>242</v>
      </c>
      <c r="B243" s="18" t="n">
        <f aca="false">ROUNDUP(A243/12,0)</f>
        <v>21</v>
      </c>
      <c r="C243" s="17" t="n">
        <f aca="false">Předpoklady!$B$4</f>
        <v>4000</v>
      </c>
      <c r="D243" s="19" t="n">
        <f aca="false">(F242+C243)*(1+Předpoklady!$B$12)</f>
        <v>1963829.66130894</v>
      </c>
      <c r="E243" s="13" t="n">
        <f aca="false">INDEX(Předpoklady!$C$18:$C$21,MATCH(D243,Předpoklady!$A$18:$A$21,1))</f>
        <v>0.0036</v>
      </c>
      <c r="F243" s="19" t="n">
        <f aca="false">D243*(1-E243/12)</f>
        <v>1963240.51241055</v>
      </c>
      <c r="G243" s="19" t="n">
        <f aca="false">(G242+C243)*(1+Předpoklady!$B$12)*(1-Předpoklady!$B$9/12)</f>
        <v>1997721.8085219</v>
      </c>
      <c r="H243" s="19" t="n">
        <f aca="false">IF(AND(A243&gt;12,MOD(A243,12)=Předpoklady!$B$8),Předpoklady!$B$14,0)</f>
        <v>0</v>
      </c>
      <c r="I243" s="19" t="n">
        <f aca="false">I242+H243</f>
        <v>136800</v>
      </c>
      <c r="J243" s="19" t="n">
        <f aca="false">J242*(1+Předpoklady!$B$12)*(1-Předpoklady!$B$9/12)+H243</f>
        <v>274860.661432862</v>
      </c>
      <c r="K243" s="19" t="n">
        <f aca="false">K242+D243*E243/12</f>
        <v>65679.9789005791</v>
      </c>
      <c r="L243" s="19" t="n">
        <f aca="false">L242+((G242+C243)+J242)*(1+Předpoklady!$B$12)*Předpoklady!$B$9/12</f>
        <v>54342.1973455277</v>
      </c>
      <c r="M243" s="19" t="n">
        <f aca="false">(O242+C243)*(1+Předpoklady!$B$12)</f>
        <v>1946196.07955621</v>
      </c>
      <c r="N243" s="13" t="n">
        <f aca="false">INDEX(Předpoklady!$D$18:$D$21,MATCH(M243,Předpoklady!$A$18:$A$21,1))</f>
        <v>0.0042</v>
      </c>
      <c r="O243" s="19" t="n">
        <f aca="false">M243*(1-N243/12)</f>
        <v>1945514.91092836</v>
      </c>
      <c r="P243" s="19" t="n">
        <f aca="false">P242+M243*N243/12</f>
        <v>76252.6507148673</v>
      </c>
    </row>
    <row r="244" customFormat="false" ht="15" hidden="false" customHeight="false" outlineLevel="0" collapsed="false">
      <c r="A244" s="18" t="n">
        <v>243</v>
      </c>
      <c r="B244" s="18" t="n">
        <f aca="false">ROUNDUP(A244/12,0)</f>
        <v>21</v>
      </c>
      <c r="C244" s="17" t="n">
        <f aca="false">Předpoklady!$B$4</f>
        <v>4000</v>
      </c>
      <c r="D244" s="19" t="n">
        <f aca="false">(F243+C244)*(1+Předpoklady!$B$12)</f>
        <v>1978363.57627971</v>
      </c>
      <c r="E244" s="13" t="n">
        <f aca="false">INDEX(Předpoklady!$C$18:$C$21,MATCH(D244,Předpoklady!$A$18:$A$21,1))</f>
        <v>0.0036</v>
      </c>
      <c r="F244" s="19" t="n">
        <f aca="false">D244*(1-E244/12)</f>
        <v>1977770.06720682</v>
      </c>
      <c r="G244" s="19" t="n">
        <f aca="false">(G243+C244)*(1+Předpoklady!$B$12)*(1-Předpoklady!$B$9/12)</f>
        <v>2012536.57469376</v>
      </c>
      <c r="H244" s="19" t="n">
        <f aca="false">IF(AND(A244&gt;12,MOD(A244,12)=Předpoklady!$B$8),Předpoklady!$B$14,0)</f>
        <v>0</v>
      </c>
      <c r="I244" s="19" t="n">
        <f aca="false">I243+H244</f>
        <v>136800</v>
      </c>
      <c r="J244" s="19" t="n">
        <f aca="false">J243*(1+Předpoklady!$B$12)*(1-Předpoklady!$B$9/12)+H244</f>
        <v>276345.659882988</v>
      </c>
      <c r="K244" s="19" t="n">
        <f aca="false">K243+D244*E244/12</f>
        <v>66273.487973463</v>
      </c>
      <c r="L244" s="19" t="n">
        <f aca="false">L243+((G243+C244)+J243)*(1+Předpoklady!$B$12)*Předpoklady!$B$9/12</f>
        <v>54914.5609950843</v>
      </c>
      <c r="M244" s="19" t="n">
        <f aca="false">(O243+C244)*(1+Předpoklady!$B$12)</f>
        <v>1960537.75166967</v>
      </c>
      <c r="N244" s="13" t="n">
        <f aca="false">INDEX(Předpoklady!$D$18:$D$21,MATCH(M244,Předpoklady!$A$18:$A$21,1))</f>
        <v>0.0042</v>
      </c>
      <c r="O244" s="19" t="n">
        <f aca="false">M244*(1-N244/12)</f>
        <v>1959851.56345658</v>
      </c>
      <c r="P244" s="19" t="n">
        <f aca="false">P243+M244*N244/12</f>
        <v>76938.8389279516</v>
      </c>
    </row>
    <row r="245" customFormat="false" ht="15" hidden="false" customHeight="false" outlineLevel="0" collapsed="false">
      <c r="A245" s="18" t="n">
        <v>244</v>
      </c>
      <c r="B245" s="18" t="n">
        <f aca="false">ROUNDUP(A245/12,0)</f>
        <v>21</v>
      </c>
      <c r="C245" s="17" t="n">
        <f aca="false">Předpoklady!$B$4</f>
        <v>4000</v>
      </c>
      <c r="D245" s="19" t="n">
        <f aca="false">(F244+C245)*(1+Předpoklady!$B$12)</f>
        <v>1992975.28329122</v>
      </c>
      <c r="E245" s="13" t="n">
        <f aca="false">INDEX(Předpoklady!$C$18:$C$21,MATCH(D245,Předpoklady!$A$18:$A$21,1))</f>
        <v>0.0036</v>
      </c>
      <c r="F245" s="19" t="n">
        <f aca="false">D245*(1-E245/12)</f>
        <v>1992377.39070623</v>
      </c>
      <c r="G245" s="19" t="n">
        <f aca="false">(G244+C245)*(1+Předpoklady!$B$12)*(1-Předpoklady!$B$9/12)</f>
        <v>2027431.38107468</v>
      </c>
      <c r="H245" s="19" t="n">
        <f aca="false">IF(AND(A245&gt;12,MOD(A245,12)=Předpoklady!$B$8),Předpoklady!$B$14,0)</f>
        <v>7200</v>
      </c>
      <c r="I245" s="19" t="n">
        <f aca="false">I244+H245</f>
        <v>144000</v>
      </c>
      <c r="J245" s="19" t="n">
        <f aca="false">J244*(1+Předpoklady!$B$12)*(1-Předpoklady!$B$9/12)+H245</f>
        <v>285038.681381539</v>
      </c>
      <c r="K245" s="19" t="n">
        <f aca="false">K244+D245*E245/12</f>
        <v>66871.3805584503</v>
      </c>
      <c r="L245" s="19" t="n">
        <f aca="false">L244+((G244+C245)+J244)*(1+Předpoklady!$B$12)*Předpoklady!$B$9/12</f>
        <v>55491.0226261061</v>
      </c>
      <c r="M245" s="19" t="n">
        <f aca="false">(O244+C245)*(1+Předpoklady!$B$12)</f>
        <v>1974955.46571565</v>
      </c>
      <c r="N245" s="13" t="n">
        <f aca="false">INDEX(Předpoklady!$D$18:$D$21,MATCH(M245,Předpoklady!$A$18:$A$21,1))</f>
        <v>0.0042</v>
      </c>
      <c r="O245" s="19" t="n">
        <f aca="false">M245*(1-N245/12)</f>
        <v>1974264.23130265</v>
      </c>
      <c r="P245" s="19" t="n">
        <f aca="false">P244+M245*N245/12</f>
        <v>77630.0733409521</v>
      </c>
    </row>
    <row r="246" customFormat="false" ht="15" hidden="false" customHeight="false" outlineLevel="0" collapsed="false">
      <c r="A246" s="18" t="n">
        <v>245</v>
      </c>
      <c r="B246" s="18" t="n">
        <f aca="false">ROUNDUP(A246/12,0)</f>
        <v>21</v>
      </c>
      <c r="C246" s="17" t="n">
        <f aca="false">Předpoklady!$B$4</f>
        <v>4000</v>
      </c>
      <c r="D246" s="19" t="n">
        <f aca="false">(F245+C246)*(1+Předpoklady!$B$12)</f>
        <v>2007665.19872141</v>
      </c>
      <c r="E246" s="13" t="n">
        <f aca="false">INDEX(Předpoklady!$C$18:$C$21,MATCH(D246,Předpoklady!$A$18:$A$21,1))</f>
        <v>0.0036</v>
      </c>
      <c r="F246" s="19" t="n">
        <f aca="false">D246*(1-E246/12)</f>
        <v>2007062.8991618</v>
      </c>
      <c r="G246" s="19" t="n">
        <f aca="false">(G245+C246)*(1+Předpoklady!$B$12)*(1-Předpoklady!$B$9/12)</f>
        <v>2042406.66010045</v>
      </c>
      <c r="H246" s="19" t="n">
        <f aca="false">IF(AND(A246&gt;12,MOD(A246,12)=Předpoklady!$B$8),Předpoklady!$B$14,0)</f>
        <v>0</v>
      </c>
      <c r="I246" s="19" t="n">
        <f aca="false">I245+H246</f>
        <v>144000</v>
      </c>
      <c r="J246" s="19" t="n">
        <f aca="false">J245*(1+Předpoklady!$B$12)*(1-Předpoklady!$B$9/12)+H246</f>
        <v>286578.668944223</v>
      </c>
      <c r="K246" s="19" t="n">
        <f aca="false">K245+D246*E246/12</f>
        <v>67473.6801180668</v>
      </c>
      <c r="L246" s="19" t="n">
        <f aca="false">L245+((G245+C246)+J245)*(1+Předpoklady!$B$12)*Předpoklady!$B$9/12</f>
        <v>56073.4145563498</v>
      </c>
      <c r="M246" s="19" t="n">
        <f aca="false">(O245+C246)*(1+Předpoklady!$B$12)</f>
        <v>1989449.62488114</v>
      </c>
      <c r="N246" s="13" t="n">
        <f aca="false">INDEX(Předpoklady!$D$18:$D$21,MATCH(M246,Předpoklady!$A$18:$A$21,1))</f>
        <v>0.0042</v>
      </c>
      <c r="O246" s="19" t="n">
        <f aca="false">M246*(1-N246/12)</f>
        <v>1988753.31751243</v>
      </c>
      <c r="P246" s="19" t="n">
        <f aca="false">P245+M246*N246/12</f>
        <v>78326.3807096605</v>
      </c>
    </row>
    <row r="247" customFormat="false" ht="15" hidden="false" customHeight="false" outlineLevel="0" collapsed="false">
      <c r="A247" s="18" t="n">
        <v>246</v>
      </c>
      <c r="B247" s="18" t="n">
        <f aca="false">ROUNDUP(A247/12,0)</f>
        <v>21</v>
      </c>
      <c r="C247" s="17" t="n">
        <f aca="false">Předpoklady!$B$4</f>
        <v>4000</v>
      </c>
      <c r="D247" s="19" t="n">
        <f aca="false">(F246+C247)*(1+Předpoklady!$B$12)</f>
        <v>2022433.74117688</v>
      </c>
      <c r="E247" s="13" t="n">
        <f aca="false">INDEX(Předpoklady!$C$18:$C$21,MATCH(D247,Předpoklady!$A$18:$A$21,1))</f>
        <v>0.0036</v>
      </c>
      <c r="F247" s="19" t="n">
        <f aca="false">D247*(1-E247/12)</f>
        <v>2021827.01105452</v>
      </c>
      <c r="G247" s="19" t="n">
        <f aca="false">(G246+C247)*(1+Předpoklady!$B$12)*(1-Předpoklady!$B$9/12)</f>
        <v>2057462.84654319</v>
      </c>
      <c r="H247" s="19" t="n">
        <f aca="false">IF(AND(A247&gt;12,MOD(A247,12)=Předpoklady!$B$8),Předpoklady!$B$14,0)</f>
        <v>0</v>
      </c>
      <c r="I247" s="19" t="n">
        <f aca="false">I246+H247</f>
        <v>144000</v>
      </c>
      <c r="J247" s="19" t="n">
        <f aca="false">J246*(1+Předpoklady!$B$12)*(1-Předpoklady!$B$9/12)+H247</f>
        <v>288126.976646762</v>
      </c>
      <c r="K247" s="19" t="n">
        <f aca="false">K246+D247*E247/12</f>
        <v>68080.4102404198</v>
      </c>
      <c r="L247" s="19" t="n">
        <f aca="false">L246+((G246+C247)+J246)*(1+Předpoklady!$B$12)*Předpoklady!$B$9/12</f>
        <v>56659.9586481703</v>
      </c>
      <c r="M247" s="19" t="n">
        <f aca="false">(O246+C247)*(1+Předpoklady!$B$12)</f>
        <v>2004020.63449088</v>
      </c>
      <c r="N247" s="13" t="n">
        <f aca="false">INDEX(Předpoklady!$D$18:$D$21,MATCH(M247,Předpoklady!$A$18:$A$21,1))</f>
        <v>0.0042</v>
      </c>
      <c r="O247" s="19" t="n">
        <f aca="false">M247*(1-N247/12)</f>
        <v>2003319.22726881</v>
      </c>
      <c r="P247" s="19" t="n">
        <f aca="false">P246+M247*N247/12</f>
        <v>79027.7879317323</v>
      </c>
    </row>
    <row r="248" customFormat="false" ht="15" hidden="false" customHeight="false" outlineLevel="0" collapsed="false">
      <c r="A248" s="18" t="n">
        <v>247</v>
      </c>
      <c r="B248" s="18" t="n">
        <f aca="false">ROUNDUP(A248/12,0)</f>
        <v>21</v>
      </c>
      <c r="C248" s="17" t="n">
        <f aca="false">Předpoklady!$B$4</f>
        <v>4000</v>
      </c>
      <c r="D248" s="19" t="n">
        <f aca="false">(F247+C248)*(1+Předpoklady!$B$12)</f>
        <v>2037281.33150476</v>
      </c>
      <c r="E248" s="13" t="n">
        <f aca="false">INDEX(Předpoklady!$C$18:$C$21,MATCH(D248,Předpoklady!$A$18:$A$21,1))</f>
        <v>0.0036</v>
      </c>
      <c r="F248" s="19" t="n">
        <f aca="false">D248*(1-E248/12)</f>
        <v>2036670.14710531</v>
      </c>
      <c r="G248" s="19" t="n">
        <f aca="false">(G247+C248)*(1+Předpoklady!$B$12)*(1-Předpoklady!$B$9/12)</f>
        <v>2072600.37752399</v>
      </c>
      <c r="H248" s="19" t="n">
        <f aca="false">IF(AND(A248&gt;12,MOD(A248,12)=Předpoklady!$B$8),Předpoklady!$B$14,0)</f>
        <v>0</v>
      </c>
      <c r="I248" s="19" t="n">
        <f aca="false">I247+H248</f>
        <v>144000</v>
      </c>
      <c r="J248" s="19" t="n">
        <f aca="false">J247*(1+Předpoklady!$B$12)*(1-Předpoklady!$B$9/12)+H248</f>
        <v>289683.649440641</v>
      </c>
      <c r="K248" s="19" t="n">
        <f aca="false">K247+D248*E248/12</f>
        <v>68691.5946398713</v>
      </c>
      <c r="L248" s="19" t="n">
        <f aca="false">L247+((G247+C248)+J247)*(1+Předpoklady!$B$12)*Předpoklady!$B$9/12</f>
        <v>57250.677334583</v>
      </c>
      <c r="M248" s="19" t="n">
        <f aca="false">(O247+C248)*(1+Předpoklady!$B$12)</f>
        <v>2018668.90201872</v>
      </c>
      <c r="N248" s="13" t="n">
        <f aca="false">INDEX(Předpoklady!$D$18:$D$21,MATCH(M248,Předpoklady!$A$18:$A$21,1))</f>
        <v>0.0042</v>
      </c>
      <c r="O248" s="19" t="n">
        <f aca="false">M248*(1-N248/12)</f>
        <v>2017962.36790301</v>
      </c>
      <c r="P248" s="19" t="n">
        <f aca="false">P247+M248*N248/12</f>
        <v>79734.3220474389</v>
      </c>
    </row>
    <row r="249" customFormat="false" ht="15" hidden="false" customHeight="false" outlineLevel="0" collapsed="false">
      <c r="A249" s="18" t="n">
        <v>248</v>
      </c>
      <c r="B249" s="18" t="n">
        <f aca="false">ROUNDUP(A249/12,0)</f>
        <v>21</v>
      </c>
      <c r="C249" s="17" t="n">
        <f aca="false">Předpoklady!$B$4</f>
        <v>4000</v>
      </c>
      <c r="D249" s="19" t="n">
        <f aca="false">(F248+C249)*(1+Předpoklady!$B$12)</f>
        <v>2052208.39280478</v>
      </c>
      <c r="E249" s="13" t="n">
        <f aca="false">INDEX(Předpoklady!$C$18:$C$21,MATCH(D249,Předpoklady!$A$18:$A$21,1))</f>
        <v>0.0036</v>
      </c>
      <c r="F249" s="19" t="n">
        <f aca="false">D249*(1-E249/12)</f>
        <v>2051592.73028694</v>
      </c>
      <c r="G249" s="19" t="n">
        <f aca="false">(G248+C249)*(1+Předpoklady!$B$12)*(1-Předpoklady!$B$9/12)</f>
        <v>2087819.69252556</v>
      </c>
      <c r="H249" s="19" t="n">
        <f aca="false">IF(AND(A249&gt;12,MOD(A249,12)=Předpoklady!$B$8),Předpoklady!$B$14,0)</f>
        <v>0</v>
      </c>
      <c r="I249" s="19" t="n">
        <f aca="false">I248+H249</f>
        <v>144000</v>
      </c>
      <c r="J249" s="19" t="n">
        <f aca="false">J248*(1+Předpoklady!$B$12)*(1-Předpoklady!$B$9/12)+H249</f>
        <v>291248.732520205</v>
      </c>
      <c r="K249" s="19" t="n">
        <f aca="false">K248+D249*E249/12</f>
        <v>69307.2571577127</v>
      </c>
      <c r="L249" s="19" t="n">
        <f aca="false">L248+((G248+C249)+J248)*(1+Předpoklady!$B$12)*Předpoklady!$B$9/12</f>
        <v>57845.5931698033</v>
      </c>
      <c r="M249" s="19" t="n">
        <f aca="false">(O248+C249)*(1+Předpoklady!$B$12)</f>
        <v>2033394.837099</v>
      </c>
      <c r="N249" s="13" t="n">
        <f aca="false">INDEX(Předpoklady!$D$18:$D$21,MATCH(M249,Předpoklady!$A$18:$A$21,1))</f>
        <v>0.0042</v>
      </c>
      <c r="O249" s="19" t="n">
        <f aca="false">M249*(1-N249/12)</f>
        <v>2032683.14890601</v>
      </c>
      <c r="P249" s="19" t="n">
        <f aca="false">P248+M249*N249/12</f>
        <v>80446.0102404235</v>
      </c>
    </row>
    <row r="250" customFormat="false" ht="15" hidden="false" customHeight="false" outlineLevel="0" collapsed="false">
      <c r="A250" s="18" t="n">
        <v>249</v>
      </c>
      <c r="B250" s="18" t="n">
        <f aca="false">ROUNDUP(A250/12,0)</f>
        <v>21</v>
      </c>
      <c r="C250" s="17" t="n">
        <f aca="false">Předpoklady!$B$4</f>
        <v>4000</v>
      </c>
      <c r="D250" s="19" t="n">
        <f aca="false">(F249+C250)*(1+Předpoklady!$B$12)</f>
        <v>2067215.35044127</v>
      </c>
      <c r="E250" s="13" t="n">
        <f aca="false">INDEX(Předpoklady!$C$18:$C$21,MATCH(D250,Předpoklady!$A$18:$A$21,1))</f>
        <v>0.0036</v>
      </c>
      <c r="F250" s="19" t="n">
        <f aca="false">D250*(1-E250/12)</f>
        <v>2066595.18583614</v>
      </c>
      <c r="G250" s="19" t="n">
        <f aca="false">(G249+C250)*(1+Předpoklady!$B$12)*(1-Předpoklady!$B$9/12)</f>
        <v>2103121.23340503</v>
      </c>
      <c r="H250" s="19" t="n">
        <f aca="false">IF(AND(A250&gt;12,MOD(A250,12)=Předpoklady!$B$8),Předpoklady!$B$14,0)</f>
        <v>0</v>
      </c>
      <c r="I250" s="19" t="n">
        <f aca="false">I249+H250</f>
        <v>144000</v>
      </c>
      <c r="J250" s="19" t="n">
        <f aca="false">J249*(1+Předpoklady!$B$12)*(1-Předpoklady!$B$9/12)+H250</f>
        <v>292822.271323972</v>
      </c>
      <c r="K250" s="19" t="n">
        <f aca="false">K249+D250*E250/12</f>
        <v>69927.4217628451</v>
      </c>
      <c r="L250" s="19" t="n">
        <f aca="false">L249+((G249+C250)+J249)*(1+Předpoklady!$B$12)*Předpoklady!$B$9/12</f>
        <v>58444.7288299006</v>
      </c>
      <c r="M250" s="19" t="n">
        <f aca="false">(O249+C250)*(1+Předpoklady!$B$12)</f>
        <v>2048198.85153801</v>
      </c>
      <c r="N250" s="13" t="n">
        <f aca="false">INDEX(Předpoklady!$D$18:$D$21,MATCH(M250,Předpoklady!$A$18:$A$21,1))</f>
        <v>0.0042</v>
      </c>
      <c r="O250" s="19" t="n">
        <f aca="false">M250*(1-N250/12)</f>
        <v>2047481.98193997</v>
      </c>
      <c r="P250" s="19" t="n">
        <f aca="false">P249+M250*N250/12</f>
        <v>81162.8798384618</v>
      </c>
    </row>
    <row r="251" customFormat="false" ht="15" hidden="false" customHeight="false" outlineLevel="0" collapsed="false">
      <c r="A251" s="18" t="n">
        <v>250</v>
      </c>
      <c r="B251" s="18" t="n">
        <f aca="false">ROUNDUP(A251/12,0)</f>
        <v>21</v>
      </c>
      <c r="C251" s="17" t="n">
        <f aca="false">Předpoklady!$B$4</f>
        <v>4000</v>
      </c>
      <c r="D251" s="19" t="n">
        <f aca="false">(F250+C251)*(1+Předpoklady!$B$12)</f>
        <v>2082302.63205532</v>
      </c>
      <c r="E251" s="13" t="n">
        <f aca="false">INDEX(Předpoklady!$C$18:$C$21,MATCH(D251,Předpoklady!$A$18:$A$21,1))</f>
        <v>0.0036</v>
      </c>
      <c r="F251" s="19" t="n">
        <f aca="false">D251*(1-E251/12)</f>
        <v>2081677.9412657</v>
      </c>
      <c r="G251" s="19" t="n">
        <f aca="false">(G250+C251)*(1+Předpoklady!$B$12)*(1-Předpoklady!$B$9/12)</f>
        <v>2118505.44440679</v>
      </c>
      <c r="H251" s="19" t="n">
        <f aca="false">IF(AND(A251&gt;12,MOD(A251,12)=Předpoklady!$B$8),Předpoklady!$B$14,0)</f>
        <v>0</v>
      </c>
      <c r="I251" s="19" t="n">
        <f aca="false">I250+H251</f>
        <v>144000</v>
      </c>
      <c r="J251" s="19" t="n">
        <f aca="false">J250*(1+Předpoklady!$B$12)*(1-Předpoklady!$B$9/12)+H251</f>
        <v>294404.311535953</v>
      </c>
      <c r="K251" s="19" t="n">
        <f aca="false">K250+D251*E251/12</f>
        <v>70552.1125524617</v>
      </c>
      <c r="L251" s="19" t="n">
        <f aca="false">L250+((G250+C251)+J250)*(1+Předpoklady!$B$12)*Předpoklady!$B$9/12</f>
        <v>59048.1071134571</v>
      </c>
      <c r="M251" s="19" t="n">
        <f aca="false">(O250+C251)*(1+Předpoklady!$B$12)</f>
        <v>2063081.3593255</v>
      </c>
      <c r="N251" s="13" t="n">
        <f aca="false">INDEX(Předpoklady!$D$18:$D$21,MATCH(M251,Předpoklady!$A$18:$A$21,1))</f>
        <v>0.0042</v>
      </c>
      <c r="O251" s="19" t="n">
        <f aca="false">M251*(1-N251/12)</f>
        <v>2062359.28084973</v>
      </c>
      <c r="P251" s="19" t="n">
        <f aca="false">P250+M251*N251/12</f>
        <v>81884.9583142258</v>
      </c>
    </row>
    <row r="252" customFormat="false" ht="15" hidden="false" customHeight="false" outlineLevel="0" collapsed="false">
      <c r="A252" s="18" t="n">
        <v>251</v>
      </c>
      <c r="B252" s="18" t="n">
        <f aca="false">ROUNDUP(A252/12,0)</f>
        <v>21</v>
      </c>
      <c r="C252" s="17" t="n">
        <f aca="false">Předpoklady!$B$4</f>
        <v>4000</v>
      </c>
      <c r="D252" s="19" t="n">
        <f aca="false">(F251+C252)*(1+Předpoklady!$B$12)</f>
        <v>2097470.66757692</v>
      </c>
      <c r="E252" s="13" t="n">
        <f aca="false">INDEX(Předpoklady!$C$18:$C$21,MATCH(D252,Předpoklady!$A$18:$A$21,1))</f>
        <v>0.0036</v>
      </c>
      <c r="F252" s="19" t="n">
        <f aca="false">D252*(1-E252/12)</f>
        <v>2096841.42637665</v>
      </c>
      <c r="G252" s="19" t="n">
        <f aca="false">(G251+C252)*(1+Předpoklady!$B$12)*(1-Předpoklady!$B$9/12)</f>
        <v>2133972.77217534</v>
      </c>
      <c r="H252" s="19" t="n">
        <f aca="false">IF(AND(A252&gt;12,MOD(A252,12)=Předpoklady!$B$8),Předpoklady!$B$14,0)</f>
        <v>0</v>
      </c>
      <c r="I252" s="19" t="n">
        <f aca="false">I251+H252</f>
        <v>144000</v>
      </c>
      <c r="J252" s="19" t="n">
        <f aca="false">J251*(1+Předpoklady!$B$12)*(1-Předpoklady!$B$9/12)+H252</f>
        <v>295994.899086977</v>
      </c>
      <c r="K252" s="19" t="n">
        <f aca="false">K251+D252*E252/12</f>
        <v>71181.3537527347</v>
      </c>
      <c r="L252" s="19" t="n">
        <f aca="false">L251+((G251+C252)+J251)*(1+Předpoklady!$B$12)*Předpoklady!$B$9/12</f>
        <v>59655.7509422299</v>
      </c>
      <c r="M252" s="19" t="n">
        <f aca="false">(O251+C252)*(1+Předpoklady!$B$12)</f>
        <v>2078042.77664627</v>
      </c>
      <c r="N252" s="13" t="n">
        <f aca="false">INDEX(Předpoklady!$D$18:$D$21,MATCH(M252,Předpoklady!$A$18:$A$21,1))</f>
        <v>0.0042</v>
      </c>
      <c r="O252" s="19" t="n">
        <f aca="false">M252*(1-N252/12)</f>
        <v>2077315.46167445</v>
      </c>
      <c r="P252" s="19" t="n">
        <f aca="false">P251+M252*N252/12</f>
        <v>82612.273286052</v>
      </c>
    </row>
    <row r="253" customFormat="false" ht="15" hidden="false" customHeight="false" outlineLevel="0" collapsed="false">
      <c r="A253" s="18" t="n">
        <v>252</v>
      </c>
      <c r="B253" s="18" t="n">
        <f aca="false">ROUNDUP(A253/12,0)</f>
        <v>21</v>
      </c>
      <c r="C253" s="17" t="n">
        <f aca="false">Předpoklady!$B$4</f>
        <v>4000</v>
      </c>
      <c r="D253" s="19" t="n">
        <f aca="false">(F252+C253)*(1+Předpoklady!$B$12)</f>
        <v>2112719.88923727</v>
      </c>
      <c r="E253" s="13" t="n">
        <f aca="false">INDEX(Předpoklady!$C$18:$C$21,MATCH(D253,Předpoklady!$A$18:$A$21,1))</f>
        <v>0.0036</v>
      </c>
      <c r="F253" s="19" t="n">
        <f aca="false">D253*(1-E253/12)</f>
        <v>2112086.0732705</v>
      </c>
      <c r="G253" s="19" t="n">
        <f aca="false">(G252+C253)*(1+Předpoklady!$B$12)*(1-Předpoklady!$B$9/12)</f>
        <v>2149523.66576826</v>
      </c>
      <c r="H253" s="19" t="n">
        <f aca="false">IF(AND(A253&gt;12,MOD(A253,12)=Předpoklady!$B$8),Předpoklady!$B$14,0)</f>
        <v>0</v>
      </c>
      <c r="I253" s="19" t="n">
        <f aca="false">I252+H253</f>
        <v>144000</v>
      </c>
      <c r="J253" s="19" t="n">
        <f aca="false">J252*(1+Předpoklady!$B$12)*(1-Předpoklady!$B$9/12)+H253</f>
        <v>297594.080156026</v>
      </c>
      <c r="K253" s="19" t="n">
        <f aca="false">K252+D253*E253/12</f>
        <v>71815.1697195059</v>
      </c>
      <c r="L253" s="19" t="n">
        <f aca="false">L252+((G252+C253)+J252)*(1+Předpoklady!$B$12)*Předpoklady!$B$9/12</f>
        <v>60267.6833618159</v>
      </c>
      <c r="M253" s="19" t="n">
        <f aca="false">(O252+C253)*(1+Předpoklady!$B$12)</f>
        <v>2093083.52189181</v>
      </c>
      <c r="N253" s="13" t="n">
        <f aca="false">INDEX(Předpoklady!$D$18:$D$21,MATCH(M253,Předpoklady!$A$18:$A$21,1))</f>
        <v>0.0042</v>
      </c>
      <c r="O253" s="19" t="n">
        <f aca="false">M253*(1-N253/12)</f>
        <v>2092350.94265915</v>
      </c>
      <c r="P253" s="19" t="n">
        <f aca="false">P252+M253*N253/12</f>
        <v>83344.8525187141</v>
      </c>
    </row>
    <row r="254" customFormat="false" ht="15" hidden="false" customHeight="false" outlineLevel="0" collapsed="false">
      <c r="A254" s="18" t="n">
        <v>253</v>
      </c>
      <c r="B254" s="18" t="n">
        <f aca="false">ROUNDUP(A254/12,0)</f>
        <v>22</v>
      </c>
      <c r="C254" s="17" t="n">
        <f aca="false">Předpoklady!$B$4</f>
        <v>4000</v>
      </c>
      <c r="D254" s="19" t="n">
        <f aca="false">(F253+C254)*(1+Předpoklady!$B$12)</f>
        <v>2128050.73158103</v>
      </c>
      <c r="E254" s="13" t="n">
        <f aca="false">INDEX(Předpoklady!$C$18:$C$21,MATCH(D254,Předpoklady!$A$18:$A$21,1))</f>
        <v>0.0036</v>
      </c>
      <c r="F254" s="19" t="n">
        <f aca="false">D254*(1-E254/12)</f>
        <v>2127412.31636156</v>
      </c>
      <c r="G254" s="19" t="n">
        <f aca="false">(G253+C254)*(1+Předpoklady!$B$12)*(1-Předpoklady!$B$9/12)</f>
        <v>2165158.57666932</v>
      </c>
      <c r="H254" s="19" t="n">
        <f aca="false">IF(AND(A254&gt;12,MOD(A254,12)=Předpoklady!$B$8),Předpoklady!$B$14,0)</f>
        <v>0</v>
      </c>
      <c r="I254" s="19" t="n">
        <f aca="false">I253+H254</f>
        <v>144000</v>
      </c>
      <c r="J254" s="19" t="n">
        <f aca="false">J253*(1+Předpoklady!$B$12)*(1-Předpoklady!$B$9/12)+H254</f>
        <v>299201.901171571</v>
      </c>
      <c r="K254" s="19" t="n">
        <f aca="false">K253+D254*E254/12</f>
        <v>72453.5849389802</v>
      </c>
      <c r="L254" s="19" t="n">
        <f aca="false">L253+((G253+C254)+J253)*(1+Předpoklady!$B$12)*Předpoklady!$B$9/12</f>
        <v>60883.9275423212</v>
      </c>
      <c r="M254" s="19" t="n">
        <f aca="false">(O253+C254)*(1+Předpoklady!$B$12)</f>
        <v>2108204.01567197</v>
      </c>
      <c r="N254" s="13" t="n">
        <f aca="false">INDEX(Předpoklady!$D$18:$D$21,MATCH(M254,Předpoklady!$A$18:$A$21,1))</f>
        <v>0.0042</v>
      </c>
      <c r="O254" s="19" t="n">
        <f aca="false">M254*(1-N254/12)</f>
        <v>2107466.14426648</v>
      </c>
      <c r="P254" s="19" t="n">
        <f aca="false">P253+M254*N254/12</f>
        <v>84082.7239241993</v>
      </c>
    </row>
    <row r="255" customFormat="false" ht="15" hidden="false" customHeight="false" outlineLevel="0" collapsed="false">
      <c r="A255" s="18" t="n">
        <v>254</v>
      </c>
      <c r="B255" s="18" t="n">
        <f aca="false">ROUNDUP(A255/12,0)</f>
        <v>22</v>
      </c>
      <c r="C255" s="17" t="n">
        <f aca="false">Předpoklady!$B$4</f>
        <v>4000</v>
      </c>
      <c r="D255" s="19" t="n">
        <f aca="false">(F254+C255)*(1+Předpoklady!$B$12)</f>
        <v>2143463.63147877</v>
      </c>
      <c r="E255" s="13" t="n">
        <f aca="false">INDEX(Předpoklady!$C$18:$C$21,MATCH(D255,Předpoklady!$A$18:$A$21,1))</f>
        <v>0.0036</v>
      </c>
      <c r="F255" s="19" t="n">
        <f aca="false">D255*(1-E255/12)</f>
        <v>2142820.59238933</v>
      </c>
      <c r="G255" s="19" t="n">
        <f aca="false">(G254+C255)*(1+Předpoklady!$B$12)*(1-Předpoklady!$B$9/12)</f>
        <v>2180877.95880148</v>
      </c>
      <c r="H255" s="19" t="n">
        <f aca="false">IF(AND(A255&gt;12,MOD(A255,12)=Předpoklady!$B$8),Předpoklady!$B$14,0)</f>
        <v>0</v>
      </c>
      <c r="I255" s="19" t="n">
        <f aca="false">I254+H255</f>
        <v>144000</v>
      </c>
      <c r="J255" s="19" t="n">
        <f aca="false">J254*(1+Předpoklady!$B$12)*(1-Předpoklady!$B$9/12)+H255</f>
        <v>300818.408812928</v>
      </c>
      <c r="K255" s="19" t="n">
        <f aca="false">K254+D255*E255/12</f>
        <v>73096.6240284238</v>
      </c>
      <c r="L255" s="19" t="n">
        <f aca="false">L254+((G254+C255)+J254)*(1+Předpoklady!$B$12)*Předpoklady!$B$9/12</f>
        <v>61504.506779034</v>
      </c>
      <c r="M255" s="19" t="n">
        <f aca="false">(O254+C255)*(1+Předpoklady!$B$12)</f>
        <v>2123404.68082675</v>
      </c>
      <c r="N255" s="13" t="n">
        <f aca="false">INDEX(Předpoklady!$D$18:$D$21,MATCH(M255,Předpoklady!$A$18:$A$21,1))</f>
        <v>0.0042</v>
      </c>
      <c r="O255" s="19" t="n">
        <f aca="false">M255*(1-N255/12)</f>
        <v>2122661.48918846</v>
      </c>
      <c r="P255" s="19" t="n">
        <f aca="false">P254+M255*N255/12</f>
        <v>84825.9155624886</v>
      </c>
    </row>
    <row r="256" customFormat="false" ht="15" hidden="false" customHeight="false" outlineLevel="0" collapsed="false">
      <c r="A256" s="18" t="n">
        <v>255</v>
      </c>
      <c r="B256" s="18" t="n">
        <f aca="false">ROUNDUP(A256/12,0)</f>
        <v>22</v>
      </c>
      <c r="C256" s="17" t="n">
        <f aca="false">Předpoklady!$B$4</f>
        <v>4000</v>
      </c>
      <c r="D256" s="19" t="n">
        <f aca="false">(F255+C256)*(1+Předpoklady!$B$12)</f>
        <v>2158959.02813937</v>
      </c>
      <c r="E256" s="13" t="n">
        <f aca="false">INDEX(Předpoklady!$C$18:$C$21,MATCH(D256,Předpoklady!$A$18:$A$21,1))</f>
        <v>0.0036</v>
      </c>
      <c r="F256" s="19" t="n">
        <f aca="false">D256*(1-E256/12)</f>
        <v>2158311.34043093</v>
      </c>
      <c r="G256" s="19" t="n">
        <f aca="false">(G255+C256)*(1+Předpoklady!$B$12)*(1-Předpoklady!$B$9/12)</f>
        <v>2196682.26854018</v>
      </c>
      <c r="H256" s="19" t="n">
        <f aca="false">IF(AND(A256&gt;12,MOD(A256,12)=Předpoklady!$B$8),Předpoklady!$B$14,0)</f>
        <v>0</v>
      </c>
      <c r="I256" s="19" t="n">
        <f aca="false">I255+H256</f>
        <v>144000</v>
      </c>
      <c r="J256" s="19" t="n">
        <f aca="false">J255*(1+Předpoklady!$B$12)*(1-Předpoklady!$B$9/12)+H256</f>
        <v>302443.650011606</v>
      </c>
      <c r="K256" s="19" t="n">
        <f aca="false">K255+D256*E256/12</f>
        <v>73744.3117368657</v>
      </c>
      <c r="L256" s="19" t="n">
        <f aca="false">L255+((G255+C256)+J255)*(1+Předpoklady!$B$12)*Předpoklady!$B$9/12</f>
        <v>62129.4444931005</v>
      </c>
      <c r="M256" s="19" t="n">
        <f aca="false">(O255+C256)*(1+Předpoklady!$B$12)</f>
        <v>2138685.94243813</v>
      </c>
      <c r="N256" s="13" t="n">
        <f aca="false">INDEX(Předpoklady!$D$18:$D$21,MATCH(M256,Předpoklady!$A$18:$A$21,1))</f>
        <v>0.0042</v>
      </c>
      <c r="O256" s="19" t="n">
        <f aca="false">M256*(1-N256/12)</f>
        <v>2137937.40235827</v>
      </c>
      <c r="P256" s="19" t="n">
        <f aca="false">P255+M256*N256/12</f>
        <v>85574.455642342</v>
      </c>
    </row>
    <row r="257" customFormat="false" ht="15" hidden="false" customHeight="false" outlineLevel="0" collapsed="false">
      <c r="A257" s="18" t="n">
        <v>256</v>
      </c>
      <c r="B257" s="18" t="n">
        <f aca="false">ROUNDUP(A257/12,0)</f>
        <v>22</v>
      </c>
      <c r="C257" s="17" t="n">
        <f aca="false">Předpoklady!$B$4</f>
        <v>4000</v>
      </c>
      <c r="D257" s="19" t="n">
        <f aca="false">(F256+C257)*(1+Předpoklady!$B$12)</f>
        <v>2174537.36312256</v>
      </c>
      <c r="E257" s="13" t="n">
        <f aca="false">INDEX(Předpoklady!$C$18:$C$21,MATCH(D257,Předpoklady!$A$18:$A$21,1))</f>
        <v>0.0036</v>
      </c>
      <c r="F257" s="19" t="n">
        <f aca="false">D257*(1-E257/12)</f>
        <v>2173885.00191363</v>
      </c>
      <c r="G257" s="19" t="n">
        <f aca="false">(G256+C257)*(1+Předpoklady!$B$12)*(1-Předpoklady!$B$9/12)</f>
        <v>2212571.96472648</v>
      </c>
      <c r="H257" s="19" t="n">
        <f aca="false">IF(AND(A257&gt;12,MOD(A257,12)=Předpoklady!$B$8),Předpoklady!$B$14,0)</f>
        <v>7200</v>
      </c>
      <c r="I257" s="19" t="n">
        <f aca="false">I256+H257</f>
        <v>151200</v>
      </c>
      <c r="J257" s="19" t="n">
        <f aca="false">J256*(1+Předpoklady!$B$12)*(1-Předpoklady!$B$9/12)+H257</f>
        <v>311277.671952674</v>
      </c>
      <c r="K257" s="19" t="n">
        <f aca="false">K256+D257*E257/12</f>
        <v>74396.6729458024</v>
      </c>
      <c r="L257" s="19" t="n">
        <f aca="false">L256+((G256+C257)+J256)*(1+Předpoklady!$B$12)*Předpoklady!$B$9/12</f>
        <v>62758.764232205</v>
      </c>
      <c r="M257" s="19" t="n">
        <f aca="false">(O256+C257)*(1+Předpoklady!$B$12)</f>
        <v>2154048.22784193</v>
      </c>
      <c r="N257" s="13" t="n">
        <f aca="false">INDEX(Předpoklady!$D$18:$D$21,MATCH(M257,Předpoklady!$A$18:$A$21,1))</f>
        <v>0.0042</v>
      </c>
      <c r="O257" s="19" t="n">
        <f aca="false">M257*(1-N257/12)</f>
        <v>2153294.31096218</v>
      </c>
      <c r="P257" s="19" t="n">
        <f aca="false">P256+M257*N257/12</f>
        <v>86328.3725220867</v>
      </c>
    </row>
    <row r="258" customFormat="false" ht="15" hidden="false" customHeight="false" outlineLevel="0" collapsed="false">
      <c r="A258" s="18" t="n">
        <v>257</v>
      </c>
      <c r="B258" s="18" t="n">
        <f aca="false">ROUNDUP(A258/12,0)</f>
        <v>22</v>
      </c>
      <c r="C258" s="17" t="n">
        <f aca="false">Předpoklady!$B$4</f>
        <v>4000</v>
      </c>
      <c r="D258" s="19" t="n">
        <f aca="false">(F257+C258)*(1+Předpoklady!$B$12)</f>
        <v>2190199.08035149</v>
      </c>
      <c r="E258" s="13" t="n">
        <f aca="false">INDEX(Předpoklady!$C$18:$C$21,MATCH(D258,Předpoklady!$A$18:$A$21,1))</f>
        <v>0.0036</v>
      </c>
      <c r="F258" s="19" t="n">
        <f aca="false">D258*(1-E258/12)</f>
        <v>2189542.02062739</v>
      </c>
      <c r="G258" s="19" t="n">
        <f aca="false">(G257+C258)*(1+Předpoklady!$B$12)*(1-Předpoklady!$B$9/12)</f>
        <v>2228547.50868047</v>
      </c>
      <c r="H258" s="19" t="n">
        <f aca="false">IF(AND(A258&gt;12,MOD(A258,12)=Předpoklady!$B$8),Předpoklady!$B$14,0)</f>
        <v>0</v>
      </c>
      <c r="I258" s="19" t="n">
        <f aca="false">I257+H258</f>
        <v>151200</v>
      </c>
      <c r="J258" s="19" t="n">
        <f aca="false">J257*(1+Předpoklady!$B$12)*(1-Předpoklady!$B$9/12)+H258</f>
        <v>312959.421745456</v>
      </c>
      <c r="K258" s="19" t="n">
        <f aca="false">K257+D258*E258/12</f>
        <v>75053.7326699079</v>
      </c>
      <c r="L258" s="19" t="n">
        <f aca="false">L257+((G257+C258)+J257)*(1+Předpoklady!$B$12)*Předpoklady!$B$9/12</f>
        <v>63394.2998487156</v>
      </c>
      <c r="M258" s="19" t="n">
        <f aca="false">(O257+C258)*(1+Předpoklady!$B$12)</f>
        <v>2169491.96663979</v>
      </c>
      <c r="N258" s="13" t="n">
        <f aca="false">INDEX(Předpoklady!$D$18:$D$21,MATCH(M258,Předpoklady!$A$18:$A$21,1))</f>
        <v>0.0042</v>
      </c>
      <c r="O258" s="19" t="n">
        <f aca="false">M258*(1-N258/12)</f>
        <v>2168732.64445146</v>
      </c>
      <c r="P258" s="19" t="n">
        <f aca="false">P257+M258*N258/12</f>
        <v>87087.6947104106</v>
      </c>
    </row>
    <row r="259" customFormat="false" ht="15" hidden="false" customHeight="false" outlineLevel="0" collapsed="false">
      <c r="A259" s="18" t="n">
        <v>258</v>
      </c>
      <c r="B259" s="18" t="n">
        <f aca="false">ROUNDUP(A259/12,0)</f>
        <v>22</v>
      </c>
      <c r="C259" s="17" t="n">
        <f aca="false">Předpoklady!$B$4</f>
        <v>4000</v>
      </c>
      <c r="D259" s="19" t="n">
        <f aca="false">(F258+C259)*(1+Předpoklady!$B$12)</f>
        <v>2205944.6261254</v>
      </c>
      <c r="E259" s="13" t="n">
        <f aca="false">INDEX(Předpoklady!$C$18:$C$21,MATCH(D259,Předpoklady!$A$18:$A$21,1))</f>
        <v>0.0036</v>
      </c>
      <c r="F259" s="19" t="n">
        <f aca="false">D259*(1-E259/12)</f>
        <v>2205282.84273756</v>
      </c>
      <c r="G259" s="19" t="n">
        <f aca="false">(G258+C259)*(1+Předpoklady!$B$12)*(1-Předpoklady!$B$9/12)</f>
        <v>2244609.36421462</v>
      </c>
      <c r="H259" s="19" t="n">
        <f aca="false">IF(AND(A259&gt;12,MOD(A259,12)=Předpoklady!$B$8),Předpoklady!$B$14,0)</f>
        <v>0</v>
      </c>
      <c r="I259" s="19" t="n">
        <f aca="false">I258+H259</f>
        <v>151200</v>
      </c>
      <c r="J259" s="19" t="n">
        <f aca="false">J258*(1+Předpoklady!$B$12)*(1-Předpoklady!$B$9/12)+H259</f>
        <v>314650.257581409</v>
      </c>
      <c r="K259" s="19" t="n">
        <f aca="false">K258+D259*E259/12</f>
        <v>75715.5160577455</v>
      </c>
      <c r="L259" s="19" t="n">
        <f aca="false">L258+((G258+C259)+J258)*(1+Předpoklady!$B$12)*Předpoklady!$B$9/12</f>
        <v>64034.2747478894</v>
      </c>
      <c r="M259" s="19" t="n">
        <f aca="false">(O258+C259)*(1+Předpoklady!$B$12)</f>
        <v>2185017.59071115</v>
      </c>
      <c r="N259" s="13" t="n">
        <f aca="false">INDEX(Předpoklady!$D$18:$D$21,MATCH(M259,Předpoklady!$A$18:$A$21,1))</f>
        <v>0.0042</v>
      </c>
      <c r="O259" s="19" t="n">
        <f aca="false">M259*(1-N259/12)</f>
        <v>2184252.8345544</v>
      </c>
      <c r="P259" s="19" t="n">
        <f aca="false">P258+M259*N259/12</f>
        <v>87852.4508671595</v>
      </c>
    </row>
    <row r="260" customFormat="false" ht="15" hidden="false" customHeight="false" outlineLevel="0" collapsed="false">
      <c r="A260" s="18" t="n">
        <v>259</v>
      </c>
      <c r="B260" s="18" t="n">
        <f aca="false">ROUNDUP(A260/12,0)</f>
        <v>22</v>
      </c>
      <c r="C260" s="17" t="n">
        <f aca="false">Předpoklady!$B$4</f>
        <v>4000</v>
      </c>
      <c r="D260" s="19" t="n">
        <f aca="false">(F259+C260)*(1+Předpoklady!$B$12)</f>
        <v>2221774.4491323</v>
      </c>
      <c r="E260" s="13" t="n">
        <f aca="false">INDEX(Předpoklady!$C$18:$C$21,MATCH(D260,Předpoklady!$A$18:$A$21,1))</f>
        <v>0.0036</v>
      </c>
      <c r="F260" s="19" t="n">
        <f aca="false">D260*(1-E260/12)</f>
        <v>2221107.91679756</v>
      </c>
      <c r="G260" s="19" t="n">
        <f aca="false">(G259+C260)*(1+Předpoklady!$B$12)*(1-Předpoklady!$B$9/12)</f>
        <v>2260757.99764725</v>
      </c>
      <c r="H260" s="19" t="n">
        <f aca="false">IF(AND(A260&gt;12,MOD(A260,12)=Předpoklady!$B$8),Předpoklady!$B$14,0)</f>
        <v>0</v>
      </c>
      <c r="I260" s="19" t="n">
        <f aca="false">I259+H260</f>
        <v>151200</v>
      </c>
      <c r="J260" s="19" t="n">
        <f aca="false">J259*(1+Předpoklady!$B$12)*(1-Předpoklady!$B$9/12)+H260</f>
        <v>316350.228549988</v>
      </c>
      <c r="K260" s="19" t="n">
        <f aca="false">K259+D260*E260/12</f>
        <v>76382.0483924852</v>
      </c>
      <c r="L260" s="19" t="n">
        <f aca="false">L259+((G259+C260)+J259)*(1+Předpoklady!$B$12)*Předpoklady!$B$9/12</f>
        <v>64678.7129139803</v>
      </c>
      <c r="M260" s="19" t="n">
        <f aca="false">(O259+C260)*(1+Předpoklady!$B$12)</f>
        <v>2200625.53422538</v>
      </c>
      <c r="N260" s="13" t="n">
        <f aca="false">INDEX(Předpoklady!$D$18:$D$21,MATCH(M260,Předpoklady!$A$18:$A$21,1))</f>
        <v>0.0042</v>
      </c>
      <c r="O260" s="19" t="n">
        <f aca="false">M260*(1-N260/12)</f>
        <v>2199855.3152884</v>
      </c>
      <c r="P260" s="19" t="n">
        <f aca="false">P259+M260*N260/12</f>
        <v>88622.6698041384</v>
      </c>
    </row>
    <row r="261" customFormat="false" ht="15" hidden="false" customHeight="false" outlineLevel="0" collapsed="false">
      <c r="A261" s="18" t="n">
        <v>260</v>
      </c>
      <c r="B261" s="18" t="n">
        <f aca="false">ROUNDUP(A261/12,0)</f>
        <v>22</v>
      </c>
      <c r="C261" s="17" t="n">
        <f aca="false">Předpoklady!$B$4</f>
        <v>4000</v>
      </c>
      <c r="D261" s="19" t="n">
        <f aca="false">(F260+C261)*(1+Předpoklady!$B$12)</f>
        <v>2237689.0004618</v>
      </c>
      <c r="E261" s="13" t="n">
        <f aca="false">INDEX(Předpoklady!$C$18:$C$21,MATCH(D261,Předpoklady!$A$18:$A$21,1))</f>
        <v>0.0036</v>
      </c>
      <c r="F261" s="19" t="n">
        <f aca="false">D261*(1-E261/12)</f>
        <v>2237017.69376166</v>
      </c>
      <c r="G261" s="19" t="n">
        <f aca="false">(G260+C261)*(1+Předpoklady!$B$12)*(1-Předpoklady!$B$9/12)</f>
        <v>2276993.87781608</v>
      </c>
      <c r="H261" s="19" t="n">
        <f aca="false">IF(AND(A261&gt;12,MOD(A261,12)=Předpoklady!$B$8),Předpoklady!$B$14,0)</f>
        <v>0</v>
      </c>
      <c r="I261" s="19" t="n">
        <f aca="false">I260+H261</f>
        <v>151200</v>
      </c>
      <c r="J261" s="19" t="n">
        <f aca="false">J260*(1+Předpoklady!$B$12)*(1-Předpoklady!$B$9/12)+H261</f>
        <v>318059.384005865</v>
      </c>
      <c r="K261" s="19" t="n">
        <f aca="false">K260+D261*E261/12</f>
        <v>77053.3550926237</v>
      </c>
      <c r="L261" s="19" t="n">
        <f aca="false">L260+((G260+C261)+J260)*(1+Předpoklady!$B$12)*Předpoklady!$B$9/12</f>
        <v>65327.6384608225</v>
      </c>
      <c r="M261" s="19" t="n">
        <f aca="false">(O260+C261)*(1+Předpoklady!$B$12)</f>
        <v>2216316.23365384</v>
      </c>
      <c r="N261" s="13" t="n">
        <f aca="false">INDEX(Předpoklady!$D$18:$D$21,MATCH(M261,Předpoklady!$A$18:$A$21,1))</f>
        <v>0.0042</v>
      </c>
      <c r="O261" s="19" t="n">
        <f aca="false">M261*(1-N261/12)</f>
        <v>2215540.52297206</v>
      </c>
      <c r="P261" s="19" t="n">
        <f aca="false">P260+M261*N261/12</f>
        <v>89398.3804859172</v>
      </c>
    </row>
    <row r="262" customFormat="false" ht="15" hidden="false" customHeight="false" outlineLevel="0" collapsed="false">
      <c r="A262" s="18" t="n">
        <v>261</v>
      </c>
      <c r="B262" s="18" t="n">
        <f aca="false">ROUNDUP(A262/12,0)</f>
        <v>22</v>
      </c>
      <c r="C262" s="17" t="n">
        <f aca="false">Předpoklady!$B$4</f>
        <v>4000</v>
      </c>
      <c r="D262" s="19" t="n">
        <f aca="false">(F261+C262)*(1+Předpoklady!$B$12)</f>
        <v>2253688.73361794</v>
      </c>
      <c r="E262" s="13" t="n">
        <f aca="false">INDEX(Předpoklady!$C$18:$C$21,MATCH(D262,Předpoklady!$A$18:$A$21,1))</f>
        <v>0.0036</v>
      </c>
      <c r="F262" s="19" t="n">
        <f aca="false">D262*(1-E262/12)</f>
        <v>2253012.62699785</v>
      </c>
      <c r="G262" s="19" t="n">
        <f aca="false">(G261+C262)*(1+Předpoklady!$B$12)*(1-Předpoklady!$B$9/12)</f>
        <v>2293317.47609182</v>
      </c>
      <c r="H262" s="19" t="n">
        <f aca="false">IF(AND(A262&gt;12,MOD(A262,12)=Předpoklady!$B$8),Předpoklady!$B$14,0)</f>
        <v>0</v>
      </c>
      <c r="I262" s="19" t="n">
        <f aca="false">I261+H262</f>
        <v>151200</v>
      </c>
      <c r="J262" s="19" t="n">
        <f aca="false">J261*(1+Předpoklady!$B$12)*(1-Předpoklady!$B$9/12)+H262</f>
        <v>319777.773570361</v>
      </c>
      <c r="K262" s="19" t="n">
        <f aca="false">K261+D262*E262/12</f>
        <v>77729.4617127091</v>
      </c>
      <c r="L262" s="19" t="n">
        <f aca="false">L261+((G261+C262)+J261)*(1+Předpoklady!$B$12)*Předpoklady!$B$9/12</f>
        <v>65981.0756325309</v>
      </c>
      <c r="M262" s="19" t="n">
        <f aca="false">(O261+C262)*(1+Předpoklady!$B$12)</f>
        <v>2232090.12778219</v>
      </c>
      <c r="N262" s="13" t="n">
        <f aca="false">INDEX(Předpoklady!$D$18:$D$21,MATCH(M262,Předpoklady!$A$18:$A$21,1))</f>
        <v>0.0042</v>
      </c>
      <c r="O262" s="19" t="n">
        <f aca="false">M262*(1-N262/12)</f>
        <v>2231308.89623746</v>
      </c>
      <c r="P262" s="19" t="n">
        <f aca="false">P261+M262*N262/12</f>
        <v>90179.612030641</v>
      </c>
    </row>
    <row r="263" customFormat="false" ht="15" hidden="false" customHeight="false" outlineLevel="0" collapsed="false">
      <c r="A263" s="18" t="n">
        <v>262</v>
      </c>
      <c r="B263" s="18" t="n">
        <f aca="false">ROUNDUP(A263/12,0)</f>
        <v>22</v>
      </c>
      <c r="C263" s="17" t="n">
        <f aca="false">Předpoklady!$B$4</f>
        <v>4000</v>
      </c>
      <c r="D263" s="19" t="n">
        <f aca="false">(F262+C263)*(1+Předpoklady!$B$12)</f>
        <v>2269774.10453211</v>
      </c>
      <c r="E263" s="13" t="n">
        <f aca="false">INDEX(Předpoklady!$C$18:$C$21,MATCH(D263,Předpoklady!$A$18:$A$21,1))</f>
        <v>0.0036</v>
      </c>
      <c r="F263" s="19" t="n">
        <f aca="false">D263*(1-E263/12)</f>
        <v>2269093.17230075</v>
      </c>
      <c r="G263" s="19" t="n">
        <f aca="false">(G262+C263)*(1+Předpoklady!$B$12)*(1-Předpoklady!$B$9/12)</f>
        <v>2309729.2663919</v>
      </c>
      <c r="H263" s="19" t="n">
        <f aca="false">IF(AND(A263&gt;12,MOD(A263,12)=Předpoklady!$B$8),Předpoklady!$B$14,0)</f>
        <v>0</v>
      </c>
      <c r="I263" s="19" t="n">
        <f aca="false">I262+H263</f>
        <v>151200</v>
      </c>
      <c r="J263" s="19" t="n">
        <f aca="false">J262*(1+Předpoklady!$B$12)*(1-Předpoklady!$B$9/12)+H263</f>
        <v>321505.44713289</v>
      </c>
      <c r="K263" s="19" t="n">
        <f aca="false">K262+D263*E263/12</f>
        <v>78410.3939440687</v>
      </c>
      <c r="L263" s="19" t="n">
        <f aca="false">L262+((G262+C263)+J262)*(1+Předpoklady!$B$12)*Předpoklady!$B$9/12</f>
        <v>66639.0488042051</v>
      </c>
      <c r="M263" s="19" t="n">
        <f aca="false">(O262+C263)*(1+Předpoklady!$B$12)</f>
        <v>2247947.65772255</v>
      </c>
      <c r="N263" s="13" t="n">
        <f aca="false">INDEX(Předpoklady!$D$18:$D$21,MATCH(M263,Předpoklady!$A$18:$A$21,1))</f>
        <v>0.0042</v>
      </c>
      <c r="O263" s="19" t="n">
        <f aca="false">M263*(1-N263/12)</f>
        <v>2247160.87604235</v>
      </c>
      <c r="P263" s="19" t="n">
        <f aca="false">P262+M263*N263/12</f>
        <v>90966.3937108439</v>
      </c>
    </row>
    <row r="264" customFormat="false" ht="15" hidden="false" customHeight="false" outlineLevel="0" collapsed="false">
      <c r="A264" s="18" t="n">
        <v>263</v>
      </c>
      <c r="B264" s="18" t="n">
        <f aca="false">ROUNDUP(A264/12,0)</f>
        <v>22</v>
      </c>
      <c r="C264" s="17" t="n">
        <f aca="false">Předpoklady!$B$4</f>
        <v>4000</v>
      </c>
      <c r="D264" s="19" t="n">
        <f aca="false">(F263+C264)*(1+Předpoklady!$B$12)</f>
        <v>2285945.57157605</v>
      </c>
      <c r="E264" s="13" t="n">
        <f aca="false">INDEX(Předpoklady!$C$18:$C$21,MATCH(D264,Předpoklady!$A$18:$A$21,1))</f>
        <v>0.0036</v>
      </c>
      <c r="F264" s="19" t="n">
        <f aca="false">D264*(1-E264/12)</f>
        <v>2285259.78790458</v>
      </c>
      <c r="G264" s="19" t="n">
        <f aca="false">(G263+C264)*(1+Předpoklady!$B$12)*(1-Předpoklady!$B$9/12)</f>
        <v>2326229.72519416</v>
      </c>
      <c r="H264" s="19" t="n">
        <f aca="false">IF(AND(A264&gt;12,MOD(A264,12)=Předpoklady!$B$8),Předpoklady!$B$14,0)</f>
        <v>0</v>
      </c>
      <c r="I264" s="19" t="n">
        <f aca="false">I263+H264</f>
        <v>151200</v>
      </c>
      <c r="J264" s="19" t="n">
        <f aca="false">J263*(1+Předpoklady!$B$12)*(1-Předpoklady!$B$9/12)+H264</f>
        <v>323242.454852404</v>
      </c>
      <c r="K264" s="19" t="n">
        <f aca="false">K263+D264*E264/12</f>
        <v>79096.1776155416</v>
      </c>
      <c r="L264" s="19" t="n">
        <f aca="false">L263+((G263+C264)+J263)*(1+Předpoklady!$B$12)*Předpoklady!$B$9/12</f>
        <v>67301.5824826363</v>
      </c>
      <c r="M264" s="19" t="n">
        <f aca="false">(O263+C264)*(1+Předpoklady!$B$12)</f>
        <v>2263889.26692593</v>
      </c>
      <c r="N264" s="13" t="n">
        <f aca="false">INDEX(Předpoklady!$D$18:$D$21,MATCH(M264,Předpoklady!$A$18:$A$21,1))</f>
        <v>0.0042</v>
      </c>
      <c r="O264" s="19" t="n">
        <f aca="false">M264*(1-N264/12)</f>
        <v>2263096.9056825</v>
      </c>
      <c r="P264" s="19" t="n">
        <f aca="false">P263+M264*N264/12</f>
        <v>91758.754954268</v>
      </c>
    </row>
    <row r="265" customFormat="false" ht="15" hidden="false" customHeight="false" outlineLevel="0" collapsed="false">
      <c r="A265" s="18" t="n">
        <v>264</v>
      </c>
      <c r="B265" s="18" t="n">
        <f aca="false">ROUNDUP(A265/12,0)</f>
        <v>22</v>
      </c>
      <c r="C265" s="17" t="n">
        <f aca="false">Předpoklady!$B$4</f>
        <v>4000</v>
      </c>
      <c r="D265" s="19" t="n">
        <f aca="false">(F264+C265)*(1+Předpoklady!$B$12)</f>
        <v>2302203.59557494</v>
      </c>
      <c r="E265" s="13" t="n">
        <f aca="false">INDEX(Předpoklady!$C$18:$C$21,MATCH(D265,Předpoklady!$A$18:$A$21,1))</f>
        <v>0.0036</v>
      </c>
      <c r="F265" s="19" t="n">
        <f aca="false">D265*(1-E265/12)</f>
        <v>2301512.93449626</v>
      </c>
      <c r="G265" s="19" t="n">
        <f aca="false">(G264+C265)*(1+Předpoklady!$B$12)*(1-Předpoklady!$B$9/12)</f>
        <v>2342819.33155075</v>
      </c>
      <c r="H265" s="19" t="n">
        <f aca="false">IF(AND(A265&gt;12,MOD(A265,12)=Předpoklady!$B$8),Předpoklady!$B$14,0)</f>
        <v>0</v>
      </c>
      <c r="I265" s="19" t="n">
        <f aca="false">I264+H265</f>
        <v>151200</v>
      </c>
      <c r="J265" s="19" t="n">
        <f aca="false">J264*(1+Předpoklady!$B$12)*(1-Předpoklady!$B$9/12)+H265</f>
        <v>324988.847158849</v>
      </c>
      <c r="K265" s="19" t="n">
        <f aca="false">K264+D265*E265/12</f>
        <v>79786.838694214</v>
      </c>
      <c r="L265" s="19" t="n">
        <f aca="false">L264+((G264+C265)+J264)*(1+Předpoklady!$B$12)*Předpoklady!$B$9/12</f>
        <v>67968.7013070198</v>
      </c>
      <c r="M265" s="19" t="n">
        <f aca="false">(O264+C265)*(1+Předpoklady!$B$12)</f>
        <v>2279915.40119457</v>
      </c>
      <c r="N265" s="13" t="n">
        <f aca="false">INDEX(Předpoklady!$D$18:$D$21,MATCH(M265,Předpoklady!$A$18:$A$21,1))</f>
        <v>0.0042</v>
      </c>
      <c r="O265" s="19" t="n">
        <f aca="false">M265*(1-N265/12)</f>
        <v>2279117.43080415</v>
      </c>
      <c r="P265" s="19" t="n">
        <f aca="false">P264+M265*N265/12</f>
        <v>92556.725344686</v>
      </c>
    </row>
    <row r="266" customFormat="false" ht="15" hidden="false" customHeight="false" outlineLevel="0" collapsed="false">
      <c r="A266" s="18" t="n">
        <v>265</v>
      </c>
      <c r="B266" s="18" t="n">
        <f aca="false">ROUNDUP(A266/12,0)</f>
        <v>23</v>
      </c>
      <c r="C266" s="17" t="n">
        <f aca="false">Předpoklady!$B$4</f>
        <v>4000</v>
      </c>
      <c r="D266" s="19" t="n">
        <f aca="false">(F265+C266)*(1+Předpoklady!$B$12)</f>
        <v>2318548.63982045</v>
      </c>
      <c r="E266" s="13" t="n">
        <f aca="false">INDEX(Předpoklady!$C$18:$C$21,MATCH(D266,Předpoklady!$A$18:$A$21,1))</f>
        <v>0.0036</v>
      </c>
      <c r="F266" s="19" t="n">
        <f aca="false">D266*(1-E266/12)</f>
        <v>2317853.0752285</v>
      </c>
      <c r="G266" s="19" t="n">
        <f aca="false">(G265+C266)*(1+Předpoklady!$B$12)*(1-Předpoklady!$B$9/12)</f>
        <v>2359498.567102</v>
      </c>
      <c r="H266" s="19" t="n">
        <f aca="false">IF(AND(A266&gt;12,MOD(A266,12)=Předpoklady!$B$8),Předpoklady!$B$14,0)</f>
        <v>0</v>
      </c>
      <c r="I266" s="19" t="n">
        <f aca="false">I265+H266</f>
        <v>151200</v>
      </c>
      <c r="J266" s="19" t="n">
        <f aca="false">J265*(1+Předpoklady!$B$12)*(1-Předpoklady!$B$9/12)+H266</f>
        <v>326744.674754633</v>
      </c>
      <c r="K266" s="19" t="n">
        <f aca="false">K265+D266*E266/12</f>
        <v>80482.4032861602</v>
      </c>
      <c r="L266" s="19" t="n">
        <f aca="false">L265+((G265+C266)+J265)*(1+Předpoklady!$B$12)*Předpoklady!$B$9/12</f>
        <v>68640.4300496696</v>
      </c>
      <c r="M266" s="19" t="n">
        <f aca="false">(O265+C266)*(1+Předpoklady!$B$12)</f>
        <v>2296026.50869444</v>
      </c>
      <c r="N266" s="13" t="n">
        <f aca="false">INDEX(Předpoklady!$D$18:$D$21,MATCH(M266,Předpoklady!$A$18:$A$21,1))</f>
        <v>0.0042</v>
      </c>
      <c r="O266" s="19" t="n">
        <f aca="false">M266*(1-N266/12)</f>
        <v>2295222.8994164</v>
      </c>
      <c r="P266" s="19" t="n">
        <f aca="false">P265+M266*N266/12</f>
        <v>93360.3346227291</v>
      </c>
    </row>
    <row r="267" customFormat="false" ht="15" hidden="false" customHeight="false" outlineLevel="0" collapsed="false">
      <c r="A267" s="18" t="n">
        <v>266</v>
      </c>
      <c r="B267" s="18" t="n">
        <f aca="false">ROUNDUP(A267/12,0)</f>
        <v>23</v>
      </c>
      <c r="C267" s="17" t="n">
        <f aca="false">Předpoklady!$B$4</f>
        <v>4000</v>
      </c>
      <c r="D267" s="19" t="n">
        <f aca="false">(F266+C267)*(1+Předpoklady!$B$12)</f>
        <v>2334981.17008404</v>
      </c>
      <c r="E267" s="13" t="n">
        <f aca="false">INDEX(Předpoklady!$C$18:$C$21,MATCH(D267,Předpoklady!$A$18:$A$21,1))</f>
        <v>0.0036</v>
      </c>
      <c r="F267" s="19" t="n">
        <f aca="false">D267*(1-E267/12)</f>
        <v>2334280.67573301</v>
      </c>
      <c r="G267" s="19" t="n">
        <f aca="false">(G266+C267)*(1+Předpoklady!$B$12)*(1-Předpoklady!$B$9/12)</f>
        <v>2376267.91609041</v>
      </c>
      <c r="H267" s="19" t="n">
        <f aca="false">IF(AND(A267&gt;12,MOD(A267,12)=Předpoklady!$B$8),Předpoklady!$B$14,0)</f>
        <v>0</v>
      </c>
      <c r="I267" s="19" t="n">
        <f aca="false">I266+H267</f>
        <v>151200</v>
      </c>
      <c r="J267" s="19" t="n">
        <f aca="false">J266*(1+Předpoklady!$B$12)*(1-Předpoklady!$B$9/12)+H267</f>
        <v>328509.988616094</v>
      </c>
      <c r="K267" s="19" t="n">
        <f aca="false">K266+D267*E267/12</f>
        <v>81182.8976371854</v>
      </c>
      <c r="L267" s="19" t="n">
        <f aca="false">L266+((G266+C267)+J266)*(1+Předpoklady!$B$12)*Předpoklady!$B$9/12</f>
        <v>69316.793616738</v>
      </c>
      <c r="M267" s="19" t="n">
        <f aca="false">(O266+C267)*(1+Předpoklady!$B$12)</f>
        <v>2312223.03996775</v>
      </c>
      <c r="N267" s="13" t="n">
        <f aca="false">INDEX(Předpoklady!$D$18:$D$21,MATCH(M267,Předpoklady!$A$18:$A$21,1))</f>
        <v>0.0042</v>
      </c>
      <c r="O267" s="19" t="n">
        <f aca="false">M267*(1-N267/12)</f>
        <v>2311413.76190376</v>
      </c>
      <c r="P267" s="19" t="n">
        <f aca="false">P266+M267*N267/12</f>
        <v>94169.6126867178</v>
      </c>
    </row>
    <row r="268" customFormat="false" ht="15" hidden="false" customHeight="false" outlineLevel="0" collapsed="false">
      <c r="A268" s="18" t="n">
        <v>267</v>
      </c>
      <c r="B268" s="18" t="n">
        <f aca="false">ROUNDUP(A268/12,0)</f>
        <v>23</v>
      </c>
      <c r="C268" s="17" t="n">
        <f aca="false">Předpoklady!$B$4</f>
        <v>4000</v>
      </c>
      <c r="D268" s="19" t="n">
        <f aca="false">(F267+C268)*(1+Předpoklady!$B$12)</f>
        <v>2351501.65463017</v>
      </c>
      <c r="E268" s="13" t="n">
        <f aca="false">INDEX(Předpoklady!$C$18:$C$21,MATCH(D268,Předpoklady!$A$18:$A$21,1))</f>
        <v>0.0036</v>
      </c>
      <c r="F268" s="19" t="n">
        <f aca="false">D268*(1-E268/12)</f>
        <v>2350796.20413378</v>
      </c>
      <c r="G268" s="19" t="n">
        <f aca="false">(G267+C268)*(1+Předpoklady!$B$12)*(1-Předpoklady!$B$9/12)</f>
        <v>2393127.86537473</v>
      </c>
      <c r="H268" s="19" t="n">
        <f aca="false">IF(AND(A268&gt;12,MOD(A268,12)=Předpoklady!$B$8),Předpoklady!$B$14,0)</f>
        <v>0</v>
      </c>
      <c r="I268" s="19" t="n">
        <f aca="false">I267+H268</f>
        <v>151200</v>
      </c>
      <c r="J268" s="19" t="n">
        <f aca="false">J267*(1+Předpoklady!$B$12)*(1-Předpoklady!$B$9/12)+H268</f>
        <v>330284.839994981</v>
      </c>
      <c r="K268" s="19" t="n">
        <f aca="false">K267+D268*E268/12</f>
        <v>81888.3481335744</v>
      </c>
      <c r="L268" s="19" t="n">
        <f aca="false">L267+((G267+C268)+J267)*(1+Předpoklady!$B$12)*Předpoklady!$B$9/12</f>
        <v>69997.8170489385</v>
      </c>
      <c r="M268" s="19" t="n">
        <f aca="false">(O267+C268)*(1+Předpoklady!$B$12)</f>
        <v>2328505.44794556</v>
      </c>
      <c r="N268" s="13" t="n">
        <f aca="false">INDEX(Předpoklady!$D$18:$D$21,MATCH(M268,Předpoklady!$A$18:$A$21,1))</f>
        <v>0.0042</v>
      </c>
      <c r="O268" s="19" t="n">
        <f aca="false">M268*(1-N268/12)</f>
        <v>2327690.47103878</v>
      </c>
      <c r="P268" s="19" t="n">
        <f aca="false">P267+M268*N268/12</f>
        <v>94984.5895934987</v>
      </c>
    </row>
    <row r="269" customFormat="false" ht="15" hidden="false" customHeight="false" outlineLevel="0" collapsed="false">
      <c r="A269" s="18" t="n">
        <v>268</v>
      </c>
      <c r="B269" s="18" t="n">
        <f aca="false">ROUNDUP(A269/12,0)</f>
        <v>23</v>
      </c>
      <c r="C269" s="17" t="n">
        <f aca="false">Předpoklady!$B$4</f>
        <v>4000</v>
      </c>
      <c r="D269" s="19" t="n">
        <f aca="false">(F268+C269)*(1+Předpoklady!$B$12)</f>
        <v>2368110.56422966</v>
      </c>
      <c r="E269" s="13" t="n">
        <f aca="false">INDEX(Předpoklady!$C$18:$C$21,MATCH(D269,Předpoklady!$A$18:$A$21,1))</f>
        <v>0.0036</v>
      </c>
      <c r="F269" s="19" t="n">
        <f aca="false">D269*(1-E269/12)</f>
        <v>2367400.13106039</v>
      </c>
      <c r="G269" s="19" t="n">
        <f aca="false">(G268+C269)*(1+Předpoklady!$B$12)*(1-Předpoklady!$B$9/12)</f>
        <v>2410078.90444405</v>
      </c>
      <c r="H269" s="19" t="n">
        <f aca="false">IF(AND(A269&gt;12,MOD(A269,12)=Předpoklady!$B$8),Předpoklady!$B$14,0)</f>
        <v>7200</v>
      </c>
      <c r="I269" s="19" t="n">
        <f aca="false">I268+H269</f>
        <v>158400</v>
      </c>
      <c r="J269" s="19" t="n">
        <f aca="false">J268*(1+Předpoklady!$B$12)*(1-Předpoklady!$B$9/12)+H269</f>
        <v>339269.280419944</v>
      </c>
      <c r="K269" s="19" t="n">
        <f aca="false">K268+D269*E269/12</f>
        <v>82598.7813028433</v>
      </c>
      <c r="L269" s="19" t="n">
        <f aca="false">L268+((G268+C269)+J268)*(1+Předpoklady!$B$12)*Předpoklady!$B$9/12</f>
        <v>70683.5255222728</v>
      </c>
      <c r="M269" s="19" t="n">
        <f aca="false">(O268+C269)*(1+Předpoklady!$B$12)</f>
        <v>2344874.18796046</v>
      </c>
      <c r="N269" s="13" t="n">
        <f aca="false">INDEX(Předpoklady!$D$18:$D$21,MATCH(M269,Předpoklady!$A$18:$A$21,1))</f>
        <v>0.0042</v>
      </c>
      <c r="O269" s="19" t="n">
        <f aca="false">M269*(1-N269/12)</f>
        <v>2344053.48199467</v>
      </c>
      <c r="P269" s="19" t="n">
        <f aca="false">P268+M269*N269/12</f>
        <v>95805.2955592849</v>
      </c>
    </row>
    <row r="270" customFormat="false" ht="15" hidden="false" customHeight="false" outlineLevel="0" collapsed="false">
      <c r="A270" s="18" t="n">
        <v>269</v>
      </c>
      <c r="B270" s="18" t="n">
        <f aca="false">ROUNDUP(A270/12,0)</f>
        <v>23</v>
      </c>
      <c r="C270" s="17" t="n">
        <f aca="false">Předpoklady!$B$4</f>
        <v>4000</v>
      </c>
      <c r="D270" s="19" t="n">
        <f aca="false">(F269+C270)*(1+Předpoklady!$B$12)</f>
        <v>2384808.37217312</v>
      </c>
      <c r="E270" s="13" t="n">
        <f aca="false">INDEX(Předpoklady!$C$18:$C$21,MATCH(D270,Předpoklady!$A$18:$A$21,1))</f>
        <v>0.0036</v>
      </c>
      <c r="F270" s="19" t="n">
        <f aca="false">D270*(1-E270/12)</f>
        <v>2384092.92966147</v>
      </c>
      <c r="G270" s="19" t="n">
        <f aca="false">(G269+C270)*(1+Předpoklady!$B$12)*(1-Předpoklady!$B$9/12)</f>
        <v>2427121.52543205</v>
      </c>
      <c r="H270" s="19" t="n">
        <f aca="false">IF(AND(A270&gt;12,MOD(A270,12)=Předpoklady!$B$8),Předpoklady!$B$14,0)</f>
        <v>0</v>
      </c>
      <c r="I270" s="19" t="n">
        <f aca="false">I269+H270</f>
        <v>158400</v>
      </c>
      <c r="J270" s="19" t="n">
        <f aca="false">J269*(1+Předpoklady!$B$12)*(1-Předpoklady!$B$9/12)+H270</f>
        <v>341102.261367354</v>
      </c>
      <c r="K270" s="19" t="n">
        <f aca="false">K269+D270*E270/12</f>
        <v>83314.2238144953</v>
      </c>
      <c r="L270" s="19" t="n">
        <f aca="false">L269+((G269+C270)+J269)*(1+Předpoklady!$B$12)*Předpoklady!$B$9/12</f>
        <v>71375.7545262237</v>
      </c>
      <c r="M270" s="19" t="n">
        <f aca="false">(O269+C270)*(1+Předpoklady!$B$12)</f>
        <v>2361329.71775928</v>
      </c>
      <c r="N270" s="13" t="n">
        <f aca="false">INDEX(Předpoklady!$D$18:$D$21,MATCH(M270,Předpoklady!$A$18:$A$21,1))</f>
        <v>0.0042</v>
      </c>
      <c r="O270" s="19" t="n">
        <f aca="false">M270*(1-N270/12)</f>
        <v>2360503.25235806</v>
      </c>
      <c r="P270" s="19" t="n">
        <f aca="false">P269+M270*N270/12</f>
        <v>96631.7609605006</v>
      </c>
    </row>
    <row r="271" customFormat="false" ht="15" hidden="false" customHeight="false" outlineLevel="0" collapsed="false">
      <c r="A271" s="18" t="n">
        <v>270</v>
      </c>
      <c r="B271" s="18" t="n">
        <f aca="false">ROUNDUP(A271/12,0)</f>
        <v>23</v>
      </c>
      <c r="C271" s="17" t="n">
        <f aca="false">Předpoklady!$B$4</f>
        <v>4000</v>
      </c>
      <c r="D271" s="19" t="n">
        <f aca="false">(F270+C271)*(1+Předpoklady!$B$12)</f>
        <v>2401595.55428441</v>
      </c>
      <c r="E271" s="13" t="n">
        <f aca="false">INDEX(Předpoklady!$C$18:$C$21,MATCH(D271,Předpoklady!$A$18:$A$21,1))</f>
        <v>0.0036</v>
      </c>
      <c r="F271" s="19" t="n">
        <f aca="false">D271*(1-E271/12)</f>
        <v>2400875.07561812</v>
      </c>
      <c r="G271" s="19" t="n">
        <f aca="false">(G270+C271)*(1+Předpoklady!$B$12)*(1-Předpoklady!$B$9/12)</f>
        <v>2444256.2231313</v>
      </c>
      <c r="H271" s="19" t="n">
        <f aca="false">IF(AND(A271&gt;12,MOD(A271,12)=Předpoklady!$B$8),Předpoklady!$B$14,0)</f>
        <v>0</v>
      </c>
      <c r="I271" s="19" t="n">
        <f aca="false">I270+H271</f>
        <v>158400</v>
      </c>
      <c r="J271" s="19" t="n">
        <f aca="false">J270*(1+Předpoklady!$B$12)*(1-Předpoklady!$B$9/12)+H271</f>
        <v>342945.145419312</v>
      </c>
      <c r="K271" s="19" t="n">
        <f aca="false">K270+D271*E271/12</f>
        <v>84034.7024807806</v>
      </c>
      <c r="L271" s="19" t="n">
        <f aca="false">L270+((G270+C271)+J270)*(1+Předpoklady!$B$12)*Předpoklady!$B$9/12</f>
        <v>72072.7291120078</v>
      </c>
      <c r="M271" s="19" t="n">
        <f aca="false">(O270+C271)*(1+Předpoklady!$B$12)</f>
        <v>2377872.49751589</v>
      </c>
      <c r="N271" s="13" t="n">
        <f aca="false">INDEX(Předpoklady!$D$18:$D$21,MATCH(M271,Předpoklady!$A$18:$A$21,1))</f>
        <v>0.0042</v>
      </c>
      <c r="O271" s="19" t="n">
        <f aca="false">M271*(1-N271/12)</f>
        <v>2377040.24214176</v>
      </c>
      <c r="P271" s="19" t="n">
        <f aca="false">P270+M271*N271/12</f>
        <v>97464.0163346312</v>
      </c>
    </row>
    <row r="272" customFormat="false" ht="15" hidden="false" customHeight="false" outlineLevel="0" collapsed="false">
      <c r="A272" s="18" t="n">
        <v>271</v>
      </c>
      <c r="B272" s="18" t="n">
        <f aca="false">ROUNDUP(A272/12,0)</f>
        <v>23</v>
      </c>
      <c r="C272" s="17" t="n">
        <f aca="false">Předpoklady!$B$4</f>
        <v>4000</v>
      </c>
      <c r="D272" s="19" t="n">
        <f aca="false">(F271+C272)*(1+Předpoklady!$B$12)</f>
        <v>2418472.58893421</v>
      </c>
      <c r="E272" s="13" t="n">
        <f aca="false">INDEX(Předpoklady!$C$18:$C$21,MATCH(D272,Předpoklady!$A$18:$A$21,1))</f>
        <v>0.0036</v>
      </c>
      <c r="F272" s="19" t="n">
        <f aca="false">D272*(1-E272/12)</f>
        <v>2417747.04715753</v>
      </c>
      <c r="G272" s="19" t="n">
        <f aca="false">(G271+C272)*(1+Předpoklady!$B$12)*(1-Předpoklady!$B$9/12)</f>
        <v>2461483.49500756</v>
      </c>
      <c r="H272" s="19" t="n">
        <f aca="false">IF(AND(A272&gt;12,MOD(A272,12)=Předpoklady!$B$8),Předpoklady!$B$14,0)</f>
        <v>0</v>
      </c>
      <c r="I272" s="19" t="n">
        <f aca="false">I271+H272</f>
        <v>158400</v>
      </c>
      <c r="J272" s="19" t="n">
        <f aca="false">J271*(1+Předpoklady!$B$12)*(1-Předpoklady!$B$9/12)+H272</f>
        <v>344797.986079634</v>
      </c>
      <c r="K272" s="19" t="n">
        <f aca="false">K271+D272*E272/12</f>
        <v>84760.2442574609</v>
      </c>
      <c r="L272" s="19" t="n">
        <f aca="false">L271+((G271+C272)+J271)*(1+Předpoklady!$B$12)*Předpoklady!$B$9/12</f>
        <v>72774.4749187313</v>
      </c>
      <c r="M272" s="19" t="n">
        <f aca="false">(O271+C272)*(1+Předpoklady!$B$12)</f>
        <v>2394502.98984409</v>
      </c>
      <c r="N272" s="13" t="n">
        <f aca="false">INDEX(Předpoklady!$D$18:$D$21,MATCH(M272,Předpoklady!$A$18:$A$21,1))</f>
        <v>0.0042</v>
      </c>
      <c r="O272" s="19" t="n">
        <f aca="false">M272*(1-N272/12)</f>
        <v>2393664.91379764</v>
      </c>
      <c r="P272" s="19" t="n">
        <f aca="false">P271+M272*N272/12</f>
        <v>98302.0923810766</v>
      </c>
    </row>
    <row r="273" customFormat="false" ht="15" hidden="false" customHeight="false" outlineLevel="0" collapsed="false">
      <c r="A273" s="18" t="n">
        <v>272</v>
      </c>
      <c r="B273" s="18" t="n">
        <f aca="false">ROUNDUP(A273/12,0)</f>
        <v>23</v>
      </c>
      <c r="C273" s="17" t="n">
        <f aca="false">Předpoklady!$B$4</f>
        <v>4000</v>
      </c>
      <c r="D273" s="19" t="n">
        <f aca="false">(F272+C273)*(1+Předpoklady!$B$12)</f>
        <v>2435439.95705368</v>
      </c>
      <c r="E273" s="13" t="n">
        <f aca="false">INDEX(Předpoklady!$C$18:$C$21,MATCH(D273,Předpoklady!$A$18:$A$21,1))</f>
        <v>0.0036</v>
      </c>
      <c r="F273" s="19" t="n">
        <f aca="false">D273*(1-E273/12)</f>
        <v>2434709.32506657</v>
      </c>
      <c r="G273" s="19" t="n">
        <f aca="false">(G272+C273)*(1+Předpoklady!$B$12)*(1-Předpoklady!$B$9/12)</f>
        <v>2478803.8412143</v>
      </c>
      <c r="H273" s="19" t="n">
        <f aca="false">IF(AND(A273&gt;12,MOD(A273,12)=Předpoklady!$B$8),Předpoklady!$B$14,0)</f>
        <v>0</v>
      </c>
      <c r="I273" s="19" t="n">
        <f aca="false">I272+H273</f>
        <v>158400</v>
      </c>
      <c r="J273" s="19" t="n">
        <f aca="false">J272*(1+Předpoklady!$B$12)*(1-Předpoklady!$B$9/12)+H273</f>
        <v>346660.837141208</v>
      </c>
      <c r="K273" s="19" t="n">
        <f aca="false">K272+D273*E273/12</f>
        <v>85490.876244577</v>
      </c>
      <c r="L273" s="19" t="n">
        <f aca="false">L272+((G272+C273)+J272)*(1+Předpoklady!$B$12)*Předpoklady!$B$9/12</f>
        <v>73481.0177240215</v>
      </c>
      <c r="M273" s="19" t="n">
        <f aca="false">(O272+C273)*(1+Předpoklady!$B$12)</f>
        <v>2411221.65981053</v>
      </c>
      <c r="N273" s="13" t="n">
        <f aca="false">INDEX(Předpoklady!$D$18:$D$21,MATCH(M273,Předpoklady!$A$18:$A$21,1))</f>
        <v>0.0042</v>
      </c>
      <c r="O273" s="19" t="n">
        <f aca="false">M273*(1-N273/12)</f>
        <v>2410377.7322296</v>
      </c>
      <c r="P273" s="19" t="n">
        <f aca="false">P272+M273*N273/12</f>
        <v>99146.0199620103</v>
      </c>
    </row>
    <row r="274" customFormat="false" ht="15" hidden="false" customHeight="false" outlineLevel="0" collapsed="false">
      <c r="A274" s="18" t="n">
        <v>273</v>
      </c>
      <c r="B274" s="18" t="n">
        <f aca="false">ROUNDUP(A274/12,0)</f>
        <v>23</v>
      </c>
      <c r="C274" s="17" t="n">
        <f aca="false">Předpoklady!$B$4</f>
        <v>4000</v>
      </c>
      <c r="D274" s="19" t="n">
        <f aca="false">(F273+C274)*(1+Předpoklady!$B$12)</f>
        <v>2452498.14214811</v>
      </c>
      <c r="E274" s="13" t="n">
        <f aca="false">INDEX(Předpoklady!$C$18:$C$21,MATCH(D274,Předpoklady!$A$18:$A$21,1))</f>
        <v>0.0036</v>
      </c>
      <c r="F274" s="19" t="n">
        <f aca="false">D274*(1-E274/12)</f>
        <v>2451762.39270547</v>
      </c>
      <c r="G274" s="19" t="n">
        <f aca="false">(G273+C274)*(1+Předpoklady!$B$12)*(1-Předpoklady!$B$9/12)</f>
        <v>2496217.76460716</v>
      </c>
      <c r="H274" s="19" t="n">
        <f aca="false">IF(AND(A274&gt;12,MOD(A274,12)=Předpoklady!$B$8),Předpoklady!$B$14,0)</f>
        <v>0</v>
      </c>
      <c r="I274" s="19" t="n">
        <f aca="false">I273+H274</f>
        <v>158400</v>
      </c>
      <c r="J274" s="19" t="n">
        <f aca="false">J273*(1+Předpoklady!$B$12)*(1-Předpoklady!$B$9/12)+H274</f>
        <v>348533.752687545</v>
      </c>
      <c r="K274" s="19" t="n">
        <f aca="false">K273+D274*E274/12</f>
        <v>86226.6256872214</v>
      </c>
      <c r="L274" s="19" t="n">
        <f aca="false">L273+((G273+C274)+J273)*(1+Předpoklady!$B$12)*Předpoklady!$B$9/12</f>
        <v>74192.3834447753</v>
      </c>
      <c r="M274" s="19" t="n">
        <f aca="false">(O273+C274)*(1+Předpoklady!$B$12)</f>
        <v>2428028.97494774</v>
      </c>
      <c r="N274" s="13" t="n">
        <f aca="false">INDEX(Předpoklady!$D$18:$D$21,MATCH(M274,Předpoklady!$A$18:$A$21,1))</f>
        <v>0.0042</v>
      </c>
      <c r="O274" s="19" t="n">
        <f aca="false">M274*(1-N274/12)</f>
        <v>2427179.16480651</v>
      </c>
      <c r="P274" s="19" t="n">
        <f aca="false">P273+M274*N274/12</f>
        <v>99995.830103242</v>
      </c>
    </row>
    <row r="275" customFormat="false" ht="15" hidden="false" customHeight="false" outlineLevel="0" collapsed="false">
      <c r="A275" s="18" t="n">
        <v>274</v>
      </c>
      <c r="B275" s="18" t="n">
        <f aca="false">ROUNDUP(A275/12,0)</f>
        <v>23</v>
      </c>
      <c r="C275" s="17" t="n">
        <f aca="false">Předpoklady!$B$4</f>
        <v>4000</v>
      </c>
      <c r="D275" s="19" t="n">
        <f aca="false">(F274+C275)*(1+Předpoklady!$B$12)</f>
        <v>2469647.63031075</v>
      </c>
      <c r="E275" s="13" t="n">
        <f aca="false">INDEX(Předpoklady!$C$18:$C$21,MATCH(D275,Předpoklady!$A$18:$A$21,1))</f>
        <v>0.0036</v>
      </c>
      <c r="F275" s="19" t="n">
        <f aca="false">D275*(1-E275/12)</f>
        <v>2468906.73602165</v>
      </c>
      <c r="G275" s="19" t="n">
        <f aca="false">(G274+C275)*(1+Předpoklady!$B$12)*(1-Předpoklady!$B$9/12)</f>
        <v>2513725.77075858</v>
      </c>
      <c r="H275" s="19" t="n">
        <f aca="false">IF(AND(A275&gt;12,MOD(A275,12)=Předpoklady!$B$8),Předpoklady!$B$14,0)</f>
        <v>0</v>
      </c>
      <c r="I275" s="19" t="n">
        <f aca="false">I274+H275</f>
        <v>158400</v>
      </c>
      <c r="J275" s="19" t="n">
        <f aca="false">J274*(1+Předpoklady!$B$12)*(1-Předpoklady!$B$9/12)+H275</f>
        <v>350416.787094359</v>
      </c>
      <c r="K275" s="19" t="n">
        <f aca="false">K274+D275*E275/12</f>
        <v>86967.5199763146</v>
      </c>
      <c r="L275" s="19" t="n">
        <f aca="false">L274+((G274+C275)+J274)*(1+Předpoklady!$B$12)*Předpoklady!$B$9/12</f>
        <v>74908.5981379118</v>
      </c>
      <c r="M275" s="19" t="n">
        <f aca="false">(O274+C275)*(1+Předpoklady!$B$12)</f>
        <v>2444925.40526716</v>
      </c>
      <c r="N275" s="13" t="n">
        <f aca="false">INDEX(Předpoklady!$D$18:$D$21,MATCH(M275,Předpoklady!$A$18:$A$21,1))</f>
        <v>0.0042</v>
      </c>
      <c r="O275" s="19" t="n">
        <f aca="false">M275*(1-N275/12)</f>
        <v>2444069.68137531</v>
      </c>
      <c r="P275" s="19" t="n">
        <f aca="false">P274+M275*N275/12</f>
        <v>100851.553995086</v>
      </c>
    </row>
    <row r="276" customFormat="false" ht="15" hidden="false" customHeight="false" outlineLevel="0" collapsed="false">
      <c r="A276" s="18" t="n">
        <v>275</v>
      </c>
      <c r="B276" s="18" t="n">
        <f aca="false">ROUNDUP(A276/12,0)</f>
        <v>23</v>
      </c>
      <c r="C276" s="17" t="n">
        <f aca="false">Předpoklady!$B$4</f>
        <v>4000</v>
      </c>
      <c r="D276" s="19" t="n">
        <f aca="false">(F275+C276)*(1+Předpoklady!$B$12)</f>
        <v>2486888.91023661</v>
      </c>
      <c r="E276" s="13" t="n">
        <f aca="false">INDEX(Předpoklady!$C$18:$C$21,MATCH(D276,Předpoklady!$A$18:$A$21,1))</f>
        <v>0.0036</v>
      </c>
      <c r="F276" s="19" t="n">
        <f aca="false">D276*(1-E276/12)</f>
        <v>2486142.84356354</v>
      </c>
      <c r="G276" s="19" t="n">
        <f aca="false">(G275+C276)*(1+Předpoklady!$B$12)*(1-Předpoklady!$B$9/12)</f>
        <v>2531328.36797249</v>
      </c>
      <c r="H276" s="19" t="n">
        <f aca="false">IF(AND(A276&gt;12,MOD(A276,12)=Předpoklady!$B$8),Předpoklady!$B$14,0)</f>
        <v>0</v>
      </c>
      <c r="I276" s="19" t="n">
        <f aca="false">I275+H276</f>
        <v>158400</v>
      </c>
      <c r="J276" s="19" t="n">
        <f aca="false">J275*(1+Předpoklady!$B$12)*(1-Předpoklady!$B$9/12)+H276</f>
        <v>352309.995031139</v>
      </c>
      <c r="K276" s="19" t="n">
        <f aca="false">K275+D276*E276/12</f>
        <v>87713.5866493856</v>
      </c>
      <c r="L276" s="19" t="n">
        <f aca="false">L275+((G275+C276)+J275)*(1+Předpoklady!$B$12)*Předpoklady!$B$9/12</f>
        <v>75629.6880011285</v>
      </c>
      <c r="M276" s="19" t="n">
        <f aca="false">(O275+C276)*(1+Předpoklady!$B$12)</f>
        <v>2461911.42327231</v>
      </c>
      <c r="N276" s="13" t="n">
        <f aca="false">INDEX(Předpoklady!$D$18:$D$21,MATCH(M276,Předpoklady!$A$18:$A$21,1))</f>
        <v>0.0042</v>
      </c>
      <c r="O276" s="19" t="n">
        <f aca="false">M276*(1-N276/12)</f>
        <v>2461049.75427416</v>
      </c>
      <c r="P276" s="19" t="n">
        <f aca="false">P275+M276*N276/12</f>
        <v>101713.222993231</v>
      </c>
    </row>
    <row r="277" customFormat="false" ht="15" hidden="false" customHeight="false" outlineLevel="0" collapsed="false">
      <c r="A277" s="18" t="n">
        <v>276</v>
      </c>
      <c r="B277" s="18" t="n">
        <f aca="false">ROUNDUP(A277/12,0)</f>
        <v>23</v>
      </c>
      <c r="C277" s="17" t="n">
        <f aca="false">Předpoklady!$B$4</f>
        <v>4000</v>
      </c>
      <c r="D277" s="19" t="n">
        <f aca="false">(F276+C277)*(1+Předpoklady!$B$12)</f>
        <v>2504222.47323646</v>
      </c>
      <c r="E277" s="13" t="n">
        <f aca="false">INDEX(Předpoklady!$C$18:$C$21,MATCH(D277,Předpoklady!$A$18:$A$21,1))</f>
        <v>0.0036</v>
      </c>
      <c r="F277" s="19" t="n">
        <f aca="false">D277*(1-E277/12)</f>
        <v>2503471.20649449</v>
      </c>
      <c r="G277" s="19" t="n">
        <f aca="false">(G276+C277)*(1+Předpoklady!$B$12)*(1-Předpoklady!$B$9/12)</f>
        <v>2549026.06729903</v>
      </c>
      <c r="H277" s="19" t="n">
        <f aca="false">IF(AND(A277&gt;12,MOD(A277,12)=Předpoklady!$B$8),Předpoklady!$B$14,0)</f>
        <v>0</v>
      </c>
      <c r="I277" s="19" t="n">
        <f aca="false">I276+H277</f>
        <v>158400</v>
      </c>
      <c r="J277" s="19" t="n">
        <f aca="false">J276*(1+Předpoklady!$B$12)*(1-Předpoklady!$B$9/12)+H277</f>
        <v>354213.43146274</v>
      </c>
      <c r="K277" s="19" t="n">
        <f aca="false">K276+D277*E277/12</f>
        <v>88464.8533913566</v>
      </c>
      <c r="L277" s="19" t="n">
        <f aca="false">L276+((G276+C277)+J276)*(1+Předpoklady!$B$12)*Předpoklady!$B$9/12</f>
        <v>76355.6793736621</v>
      </c>
      <c r="M277" s="19" t="n">
        <f aca="false">(O276+C277)*(1+Předpoklady!$B$12)</f>
        <v>2478987.50397202</v>
      </c>
      <c r="N277" s="13" t="n">
        <f aca="false">INDEX(Předpoklady!$D$18:$D$21,MATCH(M277,Předpoklady!$A$18:$A$21,1))</f>
        <v>0.0042</v>
      </c>
      <c r="O277" s="19" t="n">
        <f aca="false">M277*(1-N277/12)</f>
        <v>2478119.85834563</v>
      </c>
      <c r="P277" s="19" t="n">
        <f aca="false">P276+M277*N277/12</f>
        <v>102580.868619621</v>
      </c>
    </row>
    <row r="278" customFormat="false" ht="15" hidden="false" customHeight="false" outlineLevel="0" collapsed="false">
      <c r="A278" s="18" t="n">
        <v>277</v>
      </c>
      <c r="B278" s="18" t="n">
        <f aca="false">ROUNDUP(A278/12,0)</f>
        <v>24</v>
      </c>
      <c r="C278" s="17" t="n">
        <f aca="false">Předpoklady!$B$4</f>
        <v>4000</v>
      </c>
      <c r="D278" s="19" t="n">
        <f aca="false">(F277+C278)*(1+Předpoklady!$B$12)</f>
        <v>2521648.81325074</v>
      </c>
      <c r="E278" s="13" t="n">
        <f aca="false">INDEX(Předpoklady!$C$18:$C$21,MATCH(D278,Předpoklady!$A$18:$A$21,1))</f>
        <v>0.0036</v>
      </c>
      <c r="F278" s="19" t="n">
        <f aca="false">D278*(1-E278/12)</f>
        <v>2520892.31860677</v>
      </c>
      <c r="G278" s="19" t="n">
        <f aca="false">(G277+C278)*(1+Předpoklady!$B$12)*(1-Předpoklady!$B$9/12)</f>
        <v>2566819.38254941</v>
      </c>
      <c r="H278" s="19" t="n">
        <f aca="false">IF(AND(A278&gt;12,MOD(A278,12)=Předpoklady!$B$8),Předpoklady!$B$14,0)</f>
        <v>0</v>
      </c>
      <c r="I278" s="19" t="n">
        <f aca="false">I277+H278</f>
        <v>158400</v>
      </c>
      <c r="J278" s="19" t="n">
        <f aca="false">J277*(1+Předpoklady!$B$12)*(1-Předpoklady!$B$9/12)+H278</f>
        <v>356127.151650977</v>
      </c>
      <c r="K278" s="19" t="n">
        <f aca="false">K277+D278*E278/12</f>
        <v>89221.3480353318</v>
      </c>
      <c r="L278" s="19" t="n">
        <f aca="false">L277+((G277+C278)+J277)*(1+Předpoklady!$B$12)*Předpoklady!$B$9/12</f>
        <v>77086.5987370531</v>
      </c>
      <c r="M278" s="19" t="n">
        <f aca="false">(O277+C278)*(1+Předpoklady!$B$12)</f>
        <v>2496154.12489368</v>
      </c>
      <c r="N278" s="13" t="n">
        <f aca="false">INDEX(Předpoklady!$D$18:$D$21,MATCH(M278,Předpoklady!$A$18:$A$21,1))</f>
        <v>0.0042</v>
      </c>
      <c r="O278" s="19" t="n">
        <f aca="false">M278*(1-N278/12)</f>
        <v>2495280.47094997</v>
      </c>
      <c r="P278" s="19" t="n">
        <f aca="false">P277+M278*N278/12</f>
        <v>103454.522563334</v>
      </c>
    </row>
    <row r="279" customFormat="false" ht="15" hidden="false" customHeight="false" outlineLevel="0" collapsed="false">
      <c r="A279" s="18" t="n">
        <v>278</v>
      </c>
      <c r="B279" s="18" t="n">
        <f aca="false">ROUNDUP(A279/12,0)</f>
        <v>24</v>
      </c>
      <c r="C279" s="17" t="n">
        <f aca="false">Předpoklady!$B$4</f>
        <v>4000</v>
      </c>
      <c r="D279" s="19" t="n">
        <f aca="false">(F278+C279)*(1+Předpoklady!$B$12)</f>
        <v>2539168.42686371</v>
      </c>
      <c r="E279" s="13" t="n">
        <f aca="false">INDEX(Předpoklady!$C$18:$C$21,MATCH(D279,Předpoklady!$A$18:$A$21,1))</f>
        <v>0.0036</v>
      </c>
      <c r="F279" s="19" t="n">
        <f aca="false">D279*(1-E279/12)</f>
        <v>2538406.67633565</v>
      </c>
      <c r="G279" s="19" t="n">
        <f aca="false">(G278+C279)*(1+Předpoklady!$B$12)*(1-Předpoklady!$B$9/12)</f>
        <v>2584708.83031083</v>
      </c>
      <c r="H279" s="19" t="n">
        <f aca="false">IF(AND(A279&gt;12,MOD(A279,12)=Předpoklady!$B$8),Předpoklady!$B$14,0)</f>
        <v>0</v>
      </c>
      <c r="I279" s="19" t="n">
        <f aca="false">I278+H279</f>
        <v>158400</v>
      </c>
      <c r="J279" s="19" t="n">
        <f aca="false">J278*(1+Předpoklady!$B$12)*(1-Předpoklady!$B$9/12)+H279</f>
        <v>358051.211156228</v>
      </c>
      <c r="K279" s="19" t="n">
        <f aca="false">K278+D279*E279/12</f>
        <v>89983.0985633909</v>
      </c>
      <c r="L279" s="19" t="n">
        <f aca="false">L278+((G278+C279)+J278)*(1+Předpoklady!$B$12)*Předpoklady!$B$9/12</f>
        <v>77822.4727159145</v>
      </c>
      <c r="M279" s="19" t="n">
        <f aca="false">(O278+C279)*(1+Předpoklady!$B$12)</f>
        <v>2513411.76609662</v>
      </c>
      <c r="N279" s="13" t="n">
        <f aca="false">INDEX(Předpoklady!$D$18:$D$21,MATCH(M279,Předpoklady!$A$18:$A$21,1))</f>
        <v>0.0042</v>
      </c>
      <c r="O279" s="19" t="n">
        <f aca="false">M279*(1-N279/12)</f>
        <v>2512532.07197849</v>
      </c>
      <c r="P279" s="19" t="n">
        <f aca="false">P278+M279*N279/12</f>
        <v>104334.216681468</v>
      </c>
    </row>
    <row r="280" customFormat="false" ht="15" hidden="false" customHeight="false" outlineLevel="0" collapsed="false">
      <c r="A280" s="18" t="n">
        <v>279</v>
      </c>
      <c r="B280" s="18" t="n">
        <f aca="false">ROUNDUP(A280/12,0)</f>
        <v>24</v>
      </c>
      <c r="C280" s="17" t="n">
        <f aca="false">Předpoklady!$B$4</f>
        <v>4000</v>
      </c>
      <c r="D280" s="19" t="n">
        <f aca="false">(F279+C280)*(1+Předpoklady!$B$12)</f>
        <v>2556781.81331756</v>
      </c>
      <c r="E280" s="13" t="n">
        <f aca="false">INDEX(Předpoklady!$C$18:$C$21,MATCH(D280,Předpoklady!$A$18:$A$21,1))</f>
        <v>0.0036</v>
      </c>
      <c r="F280" s="19" t="n">
        <f aca="false">D280*(1-E280/12)</f>
        <v>2556014.77877357</v>
      </c>
      <c r="G280" s="19" t="n">
        <f aca="false">(G279+C280)*(1+Předpoklady!$B$12)*(1-Předpoklady!$B$9/12)</f>
        <v>2602694.92996146</v>
      </c>
      <c r="H280" s="19" t="n">
        <f aca="false">IF(AND(A280&gt;12,MOD(A280,12)=Předpoklady!$B$8),Předpoklady!$B$14,0)</f>
        <v>0</v>
      </c>
      <c r="I280" s="19" t="n">
        <f aca="false">I279+H280</f>
        <v>158400</v>
      </c>
      <c r="J280" s="19" t="n">
        <f aca="false">J279*(1+Předpoklady!$B$12)*(1-Předpoklady!$B$9/12)+H280</f>
        <v>359985.665839052</v>
      </c>
      <c r="K280" s="19" t="n">
        <f aca="false">K279+D280*E280/12</f>
        <v>90750.1331073862</v>
      </c>
      <c r="L280" s="19" t="n">
        <f aca="false">L279+((G279+C280)+J279)*(1+Předpoklady!$B$12)*Předpoklady!$B$9/12</f>
        <v>78563.3280787054</v>
      </c>
      <c r="M280" s="19" t="n">
        <f aca="false">(O279+C280)*(1+Předpoklady!$B$12)</f>
        <v>2530760.91018552</v>
      </c>
      <c r="N280" s="13" t="n">
        <f aca="false">INDEX(Předpoklady!$D$18:$D$21,MATCH(M280,Předpoklady!$A$18:$A$21,1))</f>
        <v>0.0042</v>
      </c>
      <c r="O280" s="19" t="n">
        <f aca="false">M280*(1-N280/12)</f>
        <v>2529875.14386696</v>
      </c>
      <c r="P280" s="19" t="n">
        <f aca="false">P279+M280*N280/12</f>
        <v>105219.983000033</v>
      </c>
    </row>
    <row r="281" customFormat="false" ht="15" hidden="false" customHeight="false" outlineLevel="0" collapsed="false">
      <c r="A281" s="18" t="n">
        <v>280</v>
      </c>
      <c r="B281" s="18" t="n">
        <f aca="false">ROUNDUP(A281/12,0)</f>
        <v>24</v>
      </c>
      <c r="C281" s="17" t="n">
        <f aca="false">Předpoklady!$B$4</f>
        <v>4000</v>
      </c>
      <c r="D281" s="19" t="n">
        <f aca="false">(F280+C281)*(1+Předpoklady!$B$12)</f>
        <v>2574489.47452666</v>
      </c>
      <c r="E281" s="13" t="n">
        <f aca="false">INDEX(Předpoklady!$C$18:$C$21,MATCH(D281,Předpoklady!$A$18:$A$21,1))</f>
        <v>0.0036</v>
      </c>
      <c r="F281" s="19" t="n">
        <f aca="false">D281*(1-E281/12)</f>
        <v>2573717.1276843</v>
      </c>
      <c r="G281" s="19" t="n">
        <f aca="false">(G280+C281)*(1+Předpoklady!$B$12)*(1-Předpoklady!$B$9/12)</f>
        <v>2620778.20368556</v>
      </c>
      <c r="H281" s="19" t="n">
        <f aca="false">IF(AND(A281&gt;12,MOD(A281,12)=Předpoklady!$B$8),Předpoklady!$B$14,0)</f>
        <v>7200</v>
      </c>
      <c r="I281" s="19" t="n">
        <f aca="false">I280+H281</f>
        <v>165600</v>
      </c>
      <c r="J281" s="19" t="n">
        <f aca="false">J280*(1+Předpoklady!$B$12)*(1-Předpoklady!$B$9/12)+H281</f>
        <v>369130.571861805</v>
      </c>
      <c r="K281" s="19" t="n">
        <f aca="false">K280+D281*E281/12</f>
        <v>91522.4799497441</v>
      </c>
      <c r="L281" s="19" t="n">
        <f aca="false">L280+((G280+C281)+J280)*(1+Předpoklady!$B$12)*Předpoklady!$B$9/12</f>
        <v>79309.1917385072</v>
      </c>
      <c r="M281" s="19" t="n">
        <f aca="false">(O280+C281)*(1+Předpoklady!$B$12)</f>
        <v>2548202.04232391</v>
      </c>
      <c r="N281" s="13" t="n">
        <f aca="false">INDEX(Předpoklady!$D$18:$D$21,MATCH(M281,Předpoklady!$A$18:$A$21,1))</f>
        <v>0.0042</v>
      </c>
      <c r="O281" s="19" t="n">
        <f aca="false">M281*(1-N281/12)</f>
        <v>2547310.1716091</v>
      </c>
      <c r="P281" s="19" t="n">
        <f aca="false">P280+M281*N281/12</f>
        <v>106111.853714846</v>
      </c>
    </row>
    <row r="282" customFormat="false" ht="15" hidden="false" customHeight="false" outlineLevel="0" collapsed="false">
      <c r="A282" s="18" t="n">
        <v>281</v>
      </c>
      <c r="B282" s="18" t="n">
        <f aca="false">ROUNDUP(A282/12,0)</f>
        <v>24</v>
      </c>
      <c r="C282" s="17" t="n">
        <f aca="false">Předpoklady!$B$4</f>
        <v>4000</v>
      </c>
      <c r="D282" s="19" t="n">
        <f aca="false">(F281+C282)*(1+Předpoklady!$B$12)</f>
        <v>2592291.91509183</v>
      </c>
      <c r="E282" s="13" t="n">
        <f aca="false">INDEX(Předpoklady!$C$18:$C$21,MATCH(D282,Předpoklady!$A$18:$A$21,1))</f>
        <v>0.0036</v>
      </c>
      <c r="F282" s="19" t="n">
        <f aca="false">D282*(1-E282/12)</f>
        <v>2591514.22751731</v>
      </c>
      <c r="G282" s="19" t="n">
        <f aca="false">(G281+C282)*(1+Předpoklady!$B$12)*(1-Předpoklady!$B$9/12)</f>
        <v>2638959.17648857</v>
      </c>
      <c r="H282" s="19" t="n">
        <f aca="false">IF(AND(A282&gt;12,MOD(A282,12)=Předpoklady!$B$8),Předpoklady!$B$14,0)</f>
        <v>0</v>
      </c>
      <c r="I282" s="19" t="n">
        <f aca="false">I281+H282</f>
        <v>165600</v>
      </c>
      <c r="J282" s="19" t="n">
        <f aca="false">J281*(1+Předpoklady!$B$12)*(1-Předpoklady!$B$9/12)+H282</f>
        <v>371124.885359602</v>
      </c>
      <c r="K282" s="19" t="n">
        <f aca="false">K281+D282*E282/12</f>
        <v>92300.1675242717</v>
      </c>
      <c r="L282" s="19" t="n">
        <f aca="false">L281+((G281+C282)+J281)*(1+Předpoklady!$B$12)*Předpoklady!$B$9/12</f>
        <v>80061.9009312674</v>
      </c>
      <c r="M282" s="19" t="n">
        <f aca="false">(O281+C282)*(1+Předpoklady!$B$12)</f>
        <v>2565735.65024774</v>
      </c>
      <c r="N282" s="13" t="n">
        <f aca="false">INDEX(Předpoklady!$D$18:$D$21,MATCH(M282,Předpoklady!$A$18:$A$21,1))</f>
        <v>0.0042</v>
      </c>
      <c r="O282" s="19" t="n">
        <f aca="false">M282*(1-N282/12)</f>
        <v>2564837.64277016</v>
      </c>
      <c r="P282" s="19" t="n">
        <f aca="false">P281+M282*N282/12</f>
        <v>107009.861192433</v>
      </c>
    </row>
    <row r="283" customFormat="false" ht="15" hidden="false" customHeight="false" outlineLevel="0" collapsed="false">
      <c r="A283" s="18" t="n">
        <v>282</v>
      </c>
      <c r="B283" s="18" t="n">
        <f aca="false">ROUNDUP(A283/12,0)</f>
        <v>24</v>
      </c>
      <c r="C283" s="17" t="n">
        <f aca="false">Předpoklady!$B$4</f>
        <v>4000</v>
      </c>
      <c r="D283" s="19" t="n">
        <f aca="false">(F282+C283)*(1+Předpoklady!$B$12)</f>
        <v>2610189.64231477</v>
      </c>
      <c r="E283" s="13" t="n">
        <f aca="false">INDEX(Předpoklady!$C$18:$C$21,MATCH(D283,Předpoklady!$A$18:$A$21,1))</f>
        <v>0.0036</v>
      </c>
      <c r="F283" s="19" t="n">
        <f aca="false">D283*(1-E283/12)</f>
        <v>2609406.58542207</v>
      </c>
      <c r="G283" s="19" t="n">
        <f aca="false">(G282+C283)*(1+Předpoklady!$B$12)*(1-Předpoklady!$B$9/12)</f>
        <v>2657238.37621244</v>
      </c>
      <c r="H283" s="19" t="n">
        <f aca="false">IF(AND(A283&gt;12,MOD(A283,12)=Předpoklady!$B$8),Předpoklady!$B$14,0)</f>
        <v>0</v>
      </c>
      <c r="I283" s="19" t="n">
        <f aca="false">I282+H283</f>
        <v>165600</v>
      </c>
      <c r="J283" s="19" t="n">
        <f aca="false">J282*(1+Předpoklady!$B$12)*(1-Předpoklady!$B$9/12)+H283</f>
        <v>373129.973598455</v>
      </c>
      <c r="K283" s="19" t="n">
        <f aca="false">K282+D283*E283/12</f>
        <v>93083.2244169661</v>
      </c>
      <c r="L283" s="19" t="n">
        <f aca="false">L282+((G282+C283)+J282)*(1+Předpoklady!$B$12)*Předpoklady!$B$9/12</f>
        <v>80819.6824641033</v>
      </c>
      <c r="M283" s="19" t="n">
        <f aca="false">(O282+C283)*(1+Předpoklady!$B$12)</f>
        <v>2583362.22427902</v>
      </c>
      <c r="N283" s="13" t="n">
        <f aca="false">INDEX(Předpoklady!$D$18:$D$21,MATCH(M283,Předpoklady!$A$18:$A$21,1))</f>
        <v>0.0042</v>
      </c>
      <c r="O283" s="19" t="n">
        <f aca="false">M283*(1-N283/12)</f>
        <v>2582458.04750052</v>
      </c>
      <c r="P283" s="19" t="n">
        <f aca="false">P282+M283*N283/12</f>
        <v>107914.03797093</v>
      </c>
    </row>
    <row r="284" customFormat="false" ht="15" hidden="false" customHeight="false" outlineLevel="0" collapsed="false">
      <c r="A284" s="18" t="n">
        <v>283</v>
      </c>
      <c r="B284" s="18" t="n">
        <f aca="false">ROUNDUP(A284/12,0)</f>
        <v>24</v>
      </c>
      <c r="C284" s="17" t="n">
        <f aca="false">Předpoklady!$B$4</f>
        <v>4000</v>
      </c>
      <c r="D284" s="19" t="n">
        <f aca="false">(F283+C284)*(1+Předpoklady!$B$12)</f>
        <v>2628183.16621245</v>
      </c>
      <c r="E284" s="13" t="n">
        <f aca="false">INDEX(Předpoklady!$C$18:$C$21,MATCH(D284,Předpoklady!$A$18:$A$21,1))</f>
        <v>0.0036</v>
      </c>
      <c r="F284" s="19" t="n">
        <f aca="false">D284*(1-E284/12)</f>
        <v>2627394.71126259</v>
      </c>
      <c r="G284" s="19" t="n">
        <f aca="false">(G283+C284)*(1+Předpoklady!$B$12)*(1-Předpoklady!$B$9/12)</f>
        <v>2675616.33355086</v>
      </c>
      <c r="H284" s="19" t="n">
        <f aca="false">IF(AND(A284&gt;12,MOD(A284,12)=Předpoklady!$B$8),Předpoklady!$B$14,0)</f>
        <v>0</v>
      </c>
      <c r="I284" s="19" t="n">
        <f aca="false">I283+H284</f>
        <v>165600</v>
      </c>
      <c r="J284" s="19" t="n">
        <f aca="false">J283*(1+Předpoklady!$B$12)*(1-Předpoklady!$B$9/12)+H284</f>
        <v>375145.8947914</v>
      </c>
      <c r="K284" s="19" t="n">
        <f aca="false">K283+D284*E284/12</f>
        <v>93871.6793668299</v>
      </c>
      <c r="L284" s="19" t="n">
        <f aca="false">L283+((G283+C284)+J283)*(1+Předpoklady!$B$12)*Předpoklady!$B$9/12</f>
        <v>81582.5637415082</v>
      </c>
      <c r="M284" s="19" t="n">
        <f aca="false">(O283+C284)*(1+Předpoklady!$B$12)</f>
        <v>2601082.25733951</v>
      </c>
      <c r="N284" s="13" t="n">
        <f aca="false">INDEX(Předpoklady!$D$18:$D$21,MATCH(M284,Předpoklady!$A$18:$A$21,1))</f>
        <v>0.0042</v>
      </c>
      <c r="O284" s="19" t="n">
        <f aca="false">M284*(1-N284/12)</f>
        <v>2600171.87854944</v>
      </c>
      <c r="P284" s="19" t="n">
        <f aca="false">P283+M284*N284/12</f>
        <v>108824.416760999</v>
      </c>
    </row>
    <row r="285" customFormat="false" ht="15" hidden="false" customHeight="false" outlineLevel="0" collapsed="false">
      <c r="A285" s="18" t="n">
        <v>284</v>
      </c>
      <c r="B285" s="18" t="n">
        <f aca="false">ROUNDUP(A285/12,0)</f>
        <v>24</v>
      </c>
      <c r="C285" s="17" t="n">
        <f aca="false">Předpoklady!$B$4</f>
        <v>4000</v>
      </c>
      <c r="D285" s="19" t="n">
        <f aca="false">(F284+C285)*(1+Předpoklady!$B$12)</f>
        <v>2646272.99953172</v>
      </c>
      <c r="E285" s="13" t="n">
        <f aca="false">INDEX(Předpoklady!$C$18:$C$21,MATCH(D285,Předpoklady!$A$18:$A$21,1))</f>
        <v>0.0036</v>
      </c>
      <c r="F285" s="19" t="n">
        <f aca="false">D285*(1-E285/12)</f>
        <v>2645479.11763186</v>
      </c>
      <c r="G285" s="19" t="n">
        <f aca="false">(G284+C285)*(1+Předpoklady!$B$12)*(1-Předpoklady!$B$9/12)</f>
        <v>2694093.58206475</v>
      </c>
      <c r="H285" s="19" t="n">
        <f aca="false">IF(AND(A285&gt;12,MOD(A285,12)=Předpoklady!$B$8),Předpoklady!$B$14,0)</f>
        <v>0</v>
      </c>
      <c r="I285" s="19" t="n">
        <f aca="false">I284+H285</f>
        <v>165600</v>
      </c>
      <c r="J285" s="19" t="n">
        <f aca="false">J284*(1+Předpoklady!$B$12)*(1-Předpoklady!$B$9/12)+H285</f>
        <v>377172.707465983</v>
      </c>
      <c r="K285" s="19" t="n">
        <f aca="false">K284+D285*E285/12</f>
        <v>94665.5612666894</v>
      </c>
      <c r="L285" s="19" t="n">
        <f aca="false">L284+((G284+C285)+J284)*(1+Předpoklady!$B$12)*Předpoklady!$B$9/12</f>
        <v>82350.5723160346</v>
      </c>
      <c r="M285" s="19" t="n">
        <f aca="false">(O284+C285)*(1+Předpoklady!$B$12)</f>
        <v>2618896.24496455</v>
      </c>
      <c r="N285" s="13" t="n">
        <f aca="false">INDEX(Předpoklady!$D$18:$D$21,MATCH(M285,Předpoklady!$A$18:$A$21,1))</f>
        <v>0.0042</v>
      </c>
      <c r="O285" s="19" t="n">
        <f aca="false">M285*(1-N285/12)</f>
        <v>2617979.63127882</v>
      </c>
      <c r="P285" s="19" t="n">
        <f aca="false">P284+M285*N285/12</f>
        <v>109741.030446737</v>
      </c>
    </row>
    <row r="286" customFormat="false" ht="15" hidden="false" customHeight="false" outlineLevel="0" collapsed="false">
      <c r="A286" s="18" t="n">
        <v>285</v>
      </c>
      <c r="B286" s="18" t="n">
        <f aca="false">ROUNDUP(A286/12,0)</f>
        <v>24</v>
      </c>
      <c r="C286" s="17" t="n">
        <f aca="false">Předpoklady!$B$4</f>
        <v>4000</v>
      </c>
      <c r="D286" s="19" t="n">
        <f aca="false">(F285+C286)*(1+Předpoklady!$B$12)</f>
        <v>2664459.65776384</v>
      </c>
      <c r="E286" s="13" t="n">
        <f aca="false">INDEX(Předpoklady!$C$18:$C$21,MATCH(D286,Předpoklady!$A$18:$A$21,1))</f>
        <v>0.0036</v>
      </c>
      <c r="F286" s="19" t="n">
        <f aca="false">D286*(1-E286/12)</f>
        <v>2663660.31986651</v>
      </c>
      <c r="G286" s="19" t="n">
        <f aca="false">(G285+C286)*(1+Předpoklady!$B$12)*(1-Předpoklady!$B$9/12)</f>
        <v>2712670.65819771</v>
      </c>
      <c r="H286" s="19" t="n">
        <f aca="false">IF(AND(A286&gt;12,MOD(A286,12)=Předpoklady!$B$8),Předpoklady!$B$14,0)</f>
        <v>0</v>
      </c>
      <c r="I286" s="19" t="n">
        <f aca="false">I285+H286</f>
        <v>165600</v>
      </c>
      <c r="J286" s="19" t="n">
        <f aca="false">J285*(1+Předpoklady!$B$12)*(1-Předpoklady!$B$9/12)+H286</f>
        <v>379210.47046596</v>
      </c>
      <c r="K286" s="19" t="n">
        <f aca="false">K285+D286*E286/12</f>
        <v>95464.8991640185</v>
      </c>
      <c r="L286" s="19" t="n">
        <f aca="false">L285+((G285+C286)+J285)*(1+Předpoklady!$B$12)*Předpoklady!$B$9/12</f>
        <v>83123.7358890937</v>
      </c>
      <c r="M286" s="19" t="n">
        <f aca="false">(O285+C286)*(1+Předpoklady!$B$12)</f>
        <v>2636804.68531688</v>
      </c>
      <c r="N286" s="13" t="n">
        <f aca="false">INDEX(Předpoklady!$D$18:$D$21,MATCH(M286,Předpoklady!$A$18:$A$21,1))</f>
        <v>0.0042</v>
      </c>
      <c r="O286" s="19" t="n">
        <f aca="false">M286*(1-N286/12)</f>
        <v>2635881.80367702</v>
      </c>
      <c r="P286" s="19" t="n">
        <f aca="false">P285+M286*N286/12</f>
        <v>110663.912086598</v>
      </c>
    </row>
    <row r="287" customFormat="false" ht="15" hidden="false" customHeight="false" outlineLevel="0" collapsed="false">
      <c r="A287" s="18" t="n">
        <v>286</v>
      </c>
      <c r="B287" s="18" t="n">
        <f aca="false">ROUNDUP(A287/12,0)</f>
        <v>24</v>
      </c>
      <c r="C287" s="17" t="n">
        <f aca="false">Předpoklady!$B$4</f>
        <v>4000</v>
      </c>
      <c r="D287" s="19" t="n">
        <f aca="false">(F286+C287)*(1+Předpoklady!$B$12)</f>
        <v>2682743.65915925</v>
      </c>
      <c r="E287" s="13" t="n">
        <f aca="false">INDEX(Předpoklady!$C$18:$C$21,MATCH(D287,Předpoklady!$A$18:$A$21,1))</f>
        <v>0.0036</v>
      </c>
      <c r="F287" s="19" t="n">
        <f aca="false">D287*(1-E287/12)</f>
        <v>2681938.8360615</v>
      </c>
      <c r="G287" s="19" t="n">
        <f aca="false">(G286+C287)*(1+Předpoklady!$B$12)*(1-Předpoklady!$B$9/12)</f>
        <v>2731348.10129159</v>
      </c>
      <c r="H287" s="19" t="n">
        <f aca="false">IF(AND(A287&gt;12,MOD(A287,12)=Předpoklady!$B$8),Předpoklady!$B$14,0)</f>
        <v>0</v>
      </c>
      <c r="I287" s="19" t="n">
        <f aca="false">I286+H287</f>
        <v>165600</v>
      </c>
      <c r="J287" s="19" t="n">
        <f aca="false">J286*(1+Předpoklady!$B$12)*(1-Předpoklady!$B$9/12)+H287</f>
        <v>381259.242953001</v>
      </c>
      <c r="K287" s="19" t="n">
        <f aca="false">K286+D287*E287/12</f>
        <v>96269.7222617663</v>
      </c>
      <c r="L287" s="19" t="n">
        <f aca="false">L286+((G286+C287)+J286)*(1+Předpoklady!$B$12)*Předpoklady!$B$9/12</f>
        <v>83902.0823117606</v>
      </c>
      <c r="M287" s="19" t="n">
        <f aca="false">(O286+C287)*(1+Předpoklady!$B$12)</f>
        <v>2654808.07920058</v>
      </c>
      <c r="N287" s="13" t="n">
        <f aca="false">INDEX(Předpoklady!$D$18:$D$21,MATCH(M287,Předpoklady!$A$18:$A$21,1))</f>
        <v>0.0042</v>
      </c>
      <c r="O287" s="19" t="n">
        <f aca="false">M287*(1-N287/12)</f>
        <v>2653878.89637286</v>
      </c>
      <c r="P287" s="19" t="n">
        <f aca="false">P286+M287*N287/12</f>
        <v>111593.094914318</v>
      </c>
    </row>
    <row r="288" customFormat="false" ht="15" hidden="false" customHeight="false" outlineLevel="0" collapsed="false">
      <c r="A288" s="18" t="n">
        <v>287</v>
      </c>
      <c r="B288" s="18" t="n">
        <f aca="false">ROUNDUP(A288/12,0)</f>
        <v>24</v>
      </c>
      <c r="C288" s="17" t="n">
        <f aca="false">Předpoklady!$B$4</f>
        <v>4000</v>
      </c>
      <c r="D288" s="19" t="n">
        <f aca="false">(F287+C288)*(1+Předpoklady!$B$12)</f>
        <v>2701125.52474227</v>
      </c>
      <c r="E288" s="13" t="n">
        <f aca="false">INDEX(Předpoklady!$C$18:$C$21,MATCH(D288,Předpoklady!$A$18:$A$21,1))</f>
        <v>0.0036</v>
      </c>
      <c r="F288" s="19" t="n">
        <f aca="false">D288*(1-E288/12)</f>
        <v>2700315.18708485</v>
      </c>
      <c r="G288" s="19" t="n">
        <f aca="false">(G287+C288)*(1+Předpoklady!$B$12)*(1-Předpoklady!$B$9/12)</f>
        <v>2750126.45360217</v>
      </c>
      <c r="H288" s="19" t="n">
        <f aca="false">IF(AND(A288&gt;12,MOD(A288,12)=Předpoklady!$B$8),Předpoklady!$B$14,0)</f>
        <v>0</v>
      </c>
      <c r="I288" s="19" t="n">
        <f aca="false">I287+H288</f>
        <v>165600</v>
      </c>
      <c r="J288" s="19" t="n">
        <f aca="false">J287*(1+Předpoklady!$B$12)*(1-Předpoklady!$B$9/12)+H288</f>
        <v>383319.084408414</v>
      </c>
      <c r="K288" s="19" t="n">
        <f aca="false">K287+D288*E288/12</f>
        <v>97080.059919189</v>
      </c>
      <c r="L288" s="19" t="n">
        <f aca="false">L287+((G287+C288)+J287)*(1+Předpoklady!$B$12)*Předpoklady!$B$9/12</f>
        <v>84685.6395855817</v>
      </c>
      <c r="M288" s="19" t="n">
        <f aca="false">(O287+C288)*(1+Předpoklady!$B$12)</f>
        <v>2672906.93007506</v>
      </c>
      <c r="N288" s="13" t="n">
        <f aca="false">INDEX(Předpoklady!$D$18:$D$21,MATCH(M288,Předpoklady!$A$18:$A$21,1))</f>
        <v>0.0042</v>
      </c>
      <c r="O288" s="19" t="n">
        <f aca="false">M288*(1-N288/12)</f>
        <v>2671971.41264954</v>
      </c>
      <c r="P288" s="19" t="n">
        <f aca="false">P287+M288*N288/12</f>
        <v>112528.612339844</v>
      </c>
    </row>
    <row r="289" customFormat="false" ht="15" hidden="false" customHeight="false" outlineLevel="0" collapsed="false">
      <c r="A289" s="18" t="n">
        <v>288</v>
      </c>
      <c r="B289" s="18" t="n">
        <f aca="false">ROUNDUP(A289/12,0)</f>
        <v>24</v>
      </c>
      <c r="C289" s="17" t="n">
        <f aca="false">Předpoklady!$B$4</f>
        <v>4000</v>
      </c>
      <c r="D289" s="19" t="n">
        <f aca="false">(F288+C289)*(1+Předpoklady!$B$12)</f>
        <v>2719605.778326</v>
      </c>
      <c r="E289" s="13" t="n">
        <f aca="false">INDEX(Předpoklady!$C$18:$C$21,MATCH(D289,Předpoklady!$A$18:$A$21,1))</f>
        <v>0.0036</v>
      </c>
      <c r="F289" s="19" t="n">
        <f aca="false">D289*(1-E289/12)</f>
        <v>2718789.8965925</v>
      </c>
      <c r="G289" s="19" t="n">
        <f aca="false">(G288+C289)*(1+Předpoklady!$B$12)*(1-Předpoklady!$B$9/12)</f>
        <v>2769006.26031489</v>
      </c>
      <c r="H289" s="19" t="n">
        <f aca="false">IF(AND(A289&gt;12,MOD(A289,12)=Předpoklady!$B$8),Předpoklady!$B$14,0)</f>
        <v>0</v>
      </c>
      <c r="I289" s="19" t="n">
        <f aca="false">I288+H289</f>
        <v>165600</v>
      </c>
      <c r="J289" s="19" t="n">
        <f aca="false">J288*(1+Předpoklady!$B$12)*(1-Předpoklady!$B$9/12)+H289</f>
        <v>385390.054634865</v>
      </c>
      <c r="K289" s="19" t="n">
        <f aca="false">K288+D289*E289/12</f>
        <v>97895.9416526868</v>
      </c>
      <c r="L289" s="19" t="n">
        <f aca="false">L288+((G288+C289)+J288)*(1+Předpoklady!$B$12)*Předpoklady!$B$9/12</f>
        <v>85474.4358633885</v>
      </c>
      <c r="M289" s="19" t="n">
        <f aca="false">(O288+C289)*(1+Předpoklady!$B$12)</f>
        <v>2691101.7440692</v>
      </c>
      <c r="N289" s="13" t="n">
        <f aca="false">INDEX(Předpoklady!$D$18:$D$21,MATCH(M289,Předpoklady!$A$18:$A$21,1))</f>
        <v>0.0042</v>
      </c>
      <c r="O289" s="19" t="n">
        <f aca="false">M289*(1-N289/12)</f>
        <v>2690159.85845877</v>
      </c>
      <c r="P289" s="19" t="n">
        <f aca="false">P288+M289*N289/12</f>
        <v>113470.497950268</v>
      </c>
    </row>
    <row r="290" customFormat="false" ht="15" hidden="false" customHeight="false" outlineLevel="0" collapsed="false">
      <c r="A290" s="18" t="n">
        <v>289</v>
      </c>
      <c r="B290" s="18" t="n">
        <f aca="false">ROUNDUP(A290/12,0)</f>
        <v>25</v>
      </c>
      <c r="C290" s="17" t="n">
        <f aca="false">Předpoklady!$B$4</f>
        <v>4000</v>
      </c>
      <c r="D290" s="19" t="n">
        <f aca="false">(F289+C290)*(1+Předpoklady!$B$12)</f>
        <v>2738184.94652719</v>
      </c>
      <c r="E290" s="13" t="n">
        <f aca="false">INDEX(Předpoklady!$C$18:$C$21,MATCH(D290,Předpoklady!$A$18:$A$21,1))</f>
        <v>0.0036</v>
      </c>
      <c r="F290" s="19" t="n">
        <f aca="false">D290*(1-E290/12)</f>
        <v>2737363.49104323</v>
      </c>
      <c r="G290" s="19" t="n">
        <f aca="false">(G289+C290)*(1+Předpoklady!$B$12)*(1-Předpoklady!$B$9/12)</f>
        <v>2787988.06956067</v>
      </c>
      <c r="H290" s="19" t="n">
        <f aca="false">IF(AND(A290&gt;12,MOD(A290,12)=Předpoklady!$B$8),Předpoklady!$B$14,0)</f>
        <v>0</v>
      </c>
      <c r="I290" s="19" t="n">
        <f aca="false">I289+H290</f>
        <v>165600</v>
      </c>
      <c r="J290" s="19" t="n">
        <f aca="false">J289*(1+Předpoklady!$B$12)*(1-Předpoklady!$B$9/12)+H290</f>
        <v>387472.213758122</v>
      </c>
      <c r="K290" s="19" t="n">
        <f aca="false">K289+D290*E290/12</f>
        <v>98717.3971366449</v>
      </c>
      <c r="L290" s="19" t="n">
        <f aca="false">L289+((G289+C290)+J289)*(1+Předpoklady!$B$12)*Předpoklady!$B$9/12</f>
        <v>86268.4994501149</v>
      </c>
      <c r="M290" s="19" t="n">
        <f aca="false">(O289+C290)*(1+Předpoklady!$B$12)</f>
        <v>2709393.02999541</v>
      </c>
      <c r="N290" s="13" t="n">
        <f aca="false">INDEX(Předpoklady!$D$18:$D$21,MATCH(M290,Předpoklady!$A$18:$A$21,1))</f>
        <v>0.0042</v>
      </c>
      <c r="O290" s="19" t="n">
        <f aca="false">M290*(1-N290/12)</f>
        <v>2708444.74243491</v>
      </c>
      <c r="P290" s="19" t="n">
        <f aca="false">P289+M290*N290/12</f>
        <v>114418.785510767</v>
      </c>
    </row>
    <row r="291" customFormat="false" ht="15" hidden="false" customHeight="false" outlineLevel="0" collapsed="false">
      <c r="A291" s="18" t="n">
        <v>290</v>
      </c>
      <c r="B291" s="18" t="n">
        <f aca="false">ROUNDUP(A291/12,0)</f>
        <v>25</v>
      </c>
      <c r="C291" s="17" t="n">
        <f aca="false">Předpoklady!$B$4</f>
        <v>4000</v>
      </c>
      <c r="D291" s="19" t="n">
        <f aca="false">(F290+C291)*(1+Předpoklady!$B$12)</f>
        <v>2756863.55878131</v>
      </c>
      <c r="E291" s="13" t="n">
        <f aca="false">INDEX(Předpoklady!$C$18:$C$21,MATCH(D291,Předpoklady!$A$18:$A$21,1))</f>
        <v>0.0036</v>
      </c>
      <c r="F291" s="19" t="n">
        <f aca="false">D291*(1-E291/12)</f>
        <v>2756036.49971368</v>
      </c>
      <c r="G291" s="19" t="n">
        <f aca="false">(G290+C291)*(1+Předpoklady!$B$12)*(1-Předpoklady!$B$9/12)</f>
        <v>2807072.43243186</v>
      </c>
      <c r="H291" s="19" t="n">
        <f aca="false">IF(AND(A291&gt;12,MOD(A291,12)=Předpoklady!$B$8),Předpoklady!$B$14,0)</f>
        <v>0</v>
      </c>
      <c r="I291" s="19" t="n">
        <f aca="false">I290+H291</f>
        <v>165600</v>
      </c>
      <c r="J291" s="19" t="n">
        <f aca="false">J290*(1+Předpoklady!$B$12)*(1-Předpoklady!$B$9/12)+H291</f>
        <v>389565.622228793</v>
      </c>
      <c r="K291" s="19" t="n">
        <f aca="false">K290+D291*E291/12</f>
        <v>99544.4562042793</v>
      </c>
      <c r="L291" s="19" t="n">
        <f aca="false">L290+((G290+C291)+J290)*(1+Předpoklady!$B$12)*Předpoklady!$B$9/12</f>
        <v>87067.8588036185</v>
      </c>
      <c r="M291" s="19" t="n">
        <f aca="false">(O290+C291)*(1+Předpoklady!$B$12)</f>
        <v>2727781.29936394</v>
      </c>
      <c r="N291" s="13" t="n">
        <f aca="false">INDEX(Předpoklady!$D$18:$D$21,MATCH(M291,Předpoklady!$A$18:$A$21,1))</f>
        <v>0.0042</v>
      </c>
      <c r="O291" s="19" t="n">
        <f aca="false">M291*(1-N291/12)</f>
        <v>2726826.57590917</v>
      </c>
      <c r="P291" s="19" t="n">
        <f aca="false">P290+M291*N291/12</f>
        <v>115373.508965544</v>
      </c>
    </row>
    <row r="292" customFormat="false" ht="15" hidden="false" customHeight="false" outlineLevel="0" collapsed="false">
      <c r="A292" s="18" t="n">
        <v>291</v>
      </c>
      <c r="B292" s="18" t="n">
        <f aca="false">ROUNDUP(A292/12,0)</f>
        <v>25</v>
      </c>
      <c r="C292" s="17" t="n">
        <f aca="false">Předpoklady!$B$4</f>
        <v>4000</v>
      </c>
      <c r="D292" s="19" t="n">
        <f aca="false">(F291+C292)*(1+Předpoklady!$B$12)</f>
        <v>2775642.14735761</v>
      </c>
      <c r="E292" s="13" t="n">
        <f aca="false">INDEX(Předpoklady!$C$18:$C$21,MATCH(D292,Předpoklady!$A$18:$A$21,1))</f>
        <v>0.0036</v>
      </c>
      <c r="F292" s="19" t="n">
        <f aca="false">D292*(1-E292/12)</f>
        <v>2774809.4547134</v>
      </c>
      <c r="G292" s="19" t="n">
        <f aca="false">(G291+C292)*(1+Předpoklady!$B$12)*(1-Předpoklady!$B$9/12)</f>
        <v>2826259.9029982</v>
      </c>
      <c r="H292" s="19" t="n">
        <f aca="false">IF(AND(A292&gt;12,MOD(A292,12)=Předpoklady!$B$8),Předpoklady!$B$14,0)</f>
        <v>0</v>
      </c>
      <c r="I292" s="19" t="n">
        <f aca="false">I291+H292</f>
        <v>165600</v>
      </c>
      <c r="J292" s="19" t="n">
        <f aca="false">J291*(1+Předpoklady!$B$12)*(1-Předpoklady!$B$9/12)+H292</f>
        <v>391670.340824086</v>
      </c>
      <c r="K292" s="19" t="n">
        <f aca="false">K291+D292*E292/12</f>
        <v>100377.148848487</v>
      </c>
      <c r="L292" s="19" t="n">
        <f aca="false">L291+((G291+C292)+J291)*(1+Předpoklady!$B$12)*Předpoklady!$B$9/12</f>
        <v>87872.542535507</v>
      </c>
      <c r="M292" s="19" t="n">
        <f aca="false">(O291+C292)*(1+Předpoklady!$B$12)</f>
        <v>2746267.06639715</v>
      </c>
      <c r="N292" s="13" t="n">
        <f aca="false">INDEX(Předpoklady!$D$18:$D$21,MATCH(M292,Předpoklady!$A$18:$A$21,1))</f>
        <v>0.0042</v>
      </c>
      <c r="O292" s="19" t="n">
        <f aca="false">M292*(1-N292/12)</f>
        <v>2745305.87292391</v>
      </c>
      <c r="P292" s="19" t="n">
        <f aca="false">P291+M292*N292/12</f>
        <v>116334.702438783</v>
      </c>
    </row>
    <row r="293" customFormat="false" ht="15" hidden="false" customHeight="false" outlineLevel="0" collapsed="false">
      <c r="A293" s="18" t="n">
        <v>292</v>
      </c>
      <c r="B293" s="18" t="n">
        <f aca="false">ROUNDUP(A293/12,0)</f>
        <v>25</v>
      </c>
      <c r="C293" s="17" t="n">
        <f aca="false">Předpoklady!$B$4</f>
        <v>4000</v>
      </c>
      <c r="D293" s="19" t="n">
        <f aca="false">(F292+C293)*(1+Předpoklady!$B$12)</f>
        <v>2794521.24737425</v>
      </c>
      <c r="E293" s="13" t="n">
        <f aca="false">INDEX(Předpoklady!$C$18:$C$21,MATCH(D293,Předpoklady!$A$18:$A$21,1))</f>
        <v>0.0036</v>
      </c>
      <c r="F293" s="19" t="n">
        <f aca="false">D293*(1-E293/12)</f>
        <v>2793682.89100003</v>
      </c>
      <c r="G293" s="19" t="n">
        <f aca="false">(G292+C293)*(1+Předpoklady!$B$12)*(1-Předpoklady!$B$9/12)</f>
        <v>2845551.0383229</v>
      </c>
      <c r="H293" s="19" t="n">
        <f aca="false">IF(AND(A293&gt;12,MOD(A293,12)=Předpoklady!$B$8),Předpoklady!$B$14,0)</f>
        <v>7200</v>
      </c>
      <c r="I293" s="19" t="n">
        <f aca="false">I292+H293</f>
        <v>172800</v>
      </c>
      <c r="J293" s="19" t="n">
        <f aca="false">J292*(1+Předpoklady!$B$12)*(1-Předpoklady!$B$9/12)+H293</f>
        <v>400986.430649572</v>
      </c>
      <c r="K293" s="19" t="n">
        <f aca="false">K292+D293*E293/12</f>
        <v>101215.505222699</v>
      </c>
      <c r="L293" s="19" t="n">
        <f aca="false">L292+((G292+C293)+J292)*(1+Předpoklady!$B$12)*Předpoklady!$B$9/12</f>
        <v>88682.5794119692</v>
      </c>
      <c r="M293" s="19" t="n">
        <f aca="false">(O292+C293)*(1+Předpoklady!$B$12)</f>
        <v>2764850.84804387</v>
      </c>
      <c r="N293" s="13" t="n">
        <f aca="false">INDEX(Předpoklady!$D$18:$D$21,MATCH(M293,Předpoklady!$A$18:$A$21,1))</f>
        <v>0.0042</v>
      </c>
      <c r="O293" s="19" t="n">
        <f aca="false">M293*(1-N293/12)</f>
        <v>2763883.15024705</v>
      </c>
      <c r="P293" s="19" t="n">
        <f aca="false">P292+M293*N293/12</f>
        <v>117302.400235598</v>
      </c>
    </row>
    <row r="294" customFormat="false" ht="15" hidden="false" customHeight="false" outlineLevel="0" collapsed="false">
      <c r="A294" s="18" t="n">
        <v>293</v>
      </c>
      <c r="B294" s="18" t="n">
        <f aca="false">ROUNDUP(A294/12,0)</f>
        <v>25</v>
      </c>
      <c r="C294" s="17" t="n">
        <f aca="false">Předpoklady!$B$4</f>
        <v>4000</v>
      </c>
      <c r="D294" s="19" t="n">
        <f aca="false">(F293+C294)*(1+Předpoklady!$B$12)</f>
        <v>2813501.3968136</v>
      </c>
      <c r="E294" s="13" t="n">
        <f aca="false">INDEX(Předpoklady!$C$18:$C$21,MATCH(D294,Předpoklady!$A$18:$A$21,1))</f>
        <v>0.0036</v>
      </c>
      <c r="F294" s="19" t="n">
        <f aca="false">D294*(1-E294/12)</f>
        <v>2812657.34639456</v>
      </c>
      <c r="G294" s="19" t="n">
        <f aca="false">(G293+C294)*(1+Předpoklady!$B$12)*(1-Předpoklady!$B$9/12)</f>
        <v>2864946.39847886</v>
      </c>
      <c r="H294" s="19" t="n">
        <f aca="false">IF(AND(A294&gt;12,MOD(A294,12)=Předpoklady!$B$8),Předpoklady!$B$14,0)</f>
        <v>0</v>
      </c>
      <c r="I294" s="19" t="n">
        <f aca="false">I293+H294</f>
        <v>172800</v>
      </c>
      <c r="J294" s="19" t="n">
        <f aca="false">J293*(1+Předpoklady!$B$12)*(1-Předpoklady!$B$9/12)+H294</f>
        <v>403152.852810284</v>
      </c>
      <c r="K294" s="19" t="n">
        <f aca="false">K293+D294*E294/12</f>
        <v>102059.555641743</v>
      </c>
      <c r="L294" s="19" t="n">
        <f aca="false">L293+((G293+C294)+J293)*(1+Předpoklady!$B$12)*Předpoklady!$B$9/12</f>
        <v>89499.8085320716</v>
      </c>
      <c r="M294" s="19" t="n">
        <f aca="false">(O293+C294)*(1+Předpoklady!$B$12)</f>
        <v>2783533.1639939</v>
      </c>
      <c r="N294" s="13" t="n">
        <f aca="false">INDEX(Předpoklady!$D$18:$D$21,MATCH(M294,Předpoklady!$A$18:$A$21,1))</f>
        <v>0.0042</v>
      </c>
      <c r="O294" s="19" t="n">
        <f aca="false">M294*(1-N294/12)</f>
        <v>2782558.9273865</v>
      </c>
      <c r="P294" s="19" t="n">
        <f aca="false">P293+M294*N294/12</f>
        <v>118276.636842996</v>
      </c>
    </row>
    <row r="295" customFormat="false" ht="15" hidden="false" customHeight="false" outlineLevel="0" collapsed="false">
      <c r="A295" s="18" t="n">
        <v>294</v>
      </c>
      <c r="B295" s="18" t="n">
        <f aca="false">ROUNDUP(A295/12,0)</f>
        <v>25</v>
      </c>
      <c r="C295" s="17" t="n">
        <f aca="false">Předpoklady!$B$4</f>
        <v>4000</v>
      </c>
      <c r="D295" s="19" t="n">
        <f aca="false">(F294+C295)*(1+Předpoklady!$B$12)</f>
        <v>2832583.13653758</v>
      </c>
      <c r="E295" s="13" t="n">
        <f aca="false">INDEX(Předpoklady!$C$18:$C$21,MATCH(D295,Předpoklady!$A$18:$A$21,1))</f>
        <v>0.0036</v>
      </c>
      <c r="F295" s="19" t="n">
        <f aca="false">D295*(1-E295/12)</f>
        <v>2831733.36159662</v>
      </c>
      <c r="G295" s="19" t="n">
        <f aca="false">(G294+C295)*(1+Předpoklady!$B$12)*(1-Předpoklady!$B$9/12)</f>
        <v>2884446.5465649</v>
      </c>
      <c r="H295" s="19" t="n">
        <f aca="false">IF(AND(A295&gt;12,MOD(A295,12)=Předpoklady!$B$8),Předpoklady!$B$14,0)</f>
        <v>0</v>
      </c>
      <c r="I295" s="19" t="n">
        <f aca="false">I294+H295</f>
        <v>172800</v>
      </c>
      <c r="J295" s="19" t="n">
        <f aca="false">J294*(1+Předpoklady!$B$12)*(1-Předpoklady!$B$9/12)+H295</f>
        <v>405330.979569007</v>
      </c>
      <c r="K295" s="19" t="n">
        <f aca="false">K294+D295*E295/12</f>
        <v>102909.330582704</v>
      </c>
      <c r="L295" s="19" t="n">
        <f aca="false">L294+((G294+C295)+J294)*(1+Předpoklady!$B$12)*Předpoklady!$B$9/12</f>
        <v>90322.4585761161</v>
      </c>
      <c r="M295" s="19" t="n">
        <f aca="false">(O294+C295)*(1+Předpoklady!$B$12)</f>
        <v>2802314.53669252</v>
      </c>
      <c r="N295" s="13" t="n">
        <f aca="false">INDEX(Předpoklady!$D$18:$D$21,MATCH(M295,Předpoklady!$A$18:$A$21,1))</f>
        <v>0.0042</v>
      </c>
      <c r="O295" s="19" t="n">
        <f aca="false">M295*(1-N295/12)</f>
        <v>2801333.72660467</v>
      </c>
      <c r="P295" s="19" t="n">
        <f aca="false">P294+M295*N295/12</f>
        <v>119257.446930839</v>
      </c>
    </row>
    <row r="296" customFormat="false" ht="15" hidden="false" customHeight="false" outlineLevel="0" collapsed="false">
      <c r="A296" s="18" t="n">
        <v>295</v>
      </c>
      <c r="B296" s="18" t="n">
        <f aca="false">ROUNDUP(A296/12,0)</f>
        <v>25</v>
      </c>
      <c r="C296" s="17" t="n">
        <f aca="false">Předpoklady!$B$4</f>
        <v>4000</v>
      </c>
      <c r="D296" s="19" t="n">
        <f aca="false">(F295+C296)*(1+Předpoklady!$B$12)</f>
        <v>2851767.010303</v>
      </c>
      <c r="E296" s="13" t="n">
        <f aca="false">INDEX(Předpoklady!$C$18:$C$21,MATCH(D296,Předpoklady!$A$18:$A$21,1))</f>
        <v>0.0036</v>
      </c>
      <c r="F296" s="19" t="n">
        <f aca="false">D296*(1-E296/12)</f>
        <v>2850911.48019991</v>
      </c>
      <c r="G296" s="19" t="n">
        <f aca="false">(G295+C296)*(1+Předpoklady!$B$12)*(1-Předpoklady!$B$9/12)</f>
        <v>2904052.04872211</v>
      </c>
      <c r="H296" s="19" t="n">
        <f aca="false">IF(AND(A296&gt;12,MOD(A296,12)=Předpoklady!$B$8),Předpoklady!$B$14,0)</f>
        <v>0</v>
      </c>
      <c r="I296" s="19" t="n">
        <f aca="false">I295+H296</f>
        <v>172800</v>
      </c>
      <c r="J296" s="19" t="n">
        <f aca="false">J295*(1+Předpoklady!$B$12)*(1-Předpoklady!$B$9/12)+H296</f>
        <v>407520.874162546</v>
      </c>
      <c r="K296" s="19" t="n">
        <f aca="false">K295+D296*E296/12</f>
        <v>103764.860685795</v>
      </c>
      <c r="L296" s="19" t="n">
        <f aca="false">L295+((G295+C296)+J295)*(1+Předpoklady!$B$12)*Předpoklady!$B$9/12</f>
        <v>91150.5588319012</v>
      </c>
      <c r="M296" s="19" t="n">
        <f aca="false">(O295+C296)*(1+Předpoklady!$B$12)</f>
        <v>2821195.49135509</v>
      </c>
      <c r="N296" s="13" t="n">
        <f aca="false">INDEX(Předpoklady!$D$18:$D$21,MATCH(M296,Předpoklady!$A$18:$A$21,1))</f>
        <v>0.0042</v>
      </c>
      <c r="O296" s="19" t="n">
        <f aca="false">M296*(1-N296/12)</f>
        <v>2820208.07293311</v>
      </c>
      <c r="P296" s="19" t="n">
        <f aca="false">P295+M296*N296/12</f>
        <v>120244.865352813</v>
      </c>
    </row>
    <row r="297" customFormat="false" ht="15" hidden="false" customHeight="false" outlineLevel="0" collapsed="false">
      <c r="A297" s="18" t="n">
        <v>296</v>
      </c>
      <c r="B297" s="18" t="n">
        <f aca="false">ROUNDUP(A297/12,0)</f>
        <v>25</v>
      </c>
      <c r="C297" s="17" t="n">
        <f aca="false">Předpoklady!$B$4</f>
        <v>4000</v>
      </c>
      <c r="D297" s="19" t="n">
        <f aca="false">(F296+C297)*(1+Předpoklady!$B$12)</f>
        <v>2871053.56477713</v>
      </c>
      <c r="E297" s="13" t="n">
        <f aca="false">INDEX(Předpoklady!$C$18:$C$21,MATCH(D297,Předpoklady!$A$18:$A$21,1))</f>
        <v>0.0036</v>
      </c>
      <c r="F297" s="19" t="n">
        <f aca="false">D297*(1-E297/12)</f>
        <v>2870192.2487077</v>
      </c>
      <c r="G297" s="19" t="n">
        <f aca="false">(G296+C297)*(1+Předpoklady!$B$12)*(1-Předpoklady!$B$9/12)</f>
        <v>2923763.47415027</v>
      </c>
      <c r="H297" s="19" t="n">
        <f aca="false">IF(AND(A297&gt;12,MOD(A297,12)=Předpoklady!$B$8),Předpoklady!$B$14,0)</f>
        <v>0</v>
      </c>
      <c r="I297" s="19" t="n">
        <f aca="false">I296+H297</f>
        <v>172800</v>
      </c>
      <c r="J297" s="19" t="n">
        <f aca="false">J296*(1+Předpoklady!$B$12)*(1-Předpoklady!$B$9/12)+H297</f>
        <v>409722.600169355</v>
      </c>
      <c r="K297" s="19" t="n">
        <f aca="false">K296+D297*E297/12</f>
        <v>104626.176755228</v>
      </c>
      <c r="L297" s="19" t="n">
        <f aca="false">L296+((G296+C297)+J296)*(1+Předpoklady!$B$12)*Předpoklady!$B$9/12</f>
        <v>91984.1387454595</v>
      </c>
      <c r="M297" s="19" t="n">
        <f aca="false">(O296+C297)*(1+Předpoklady!$B$12)</f>
        <v>2840176.55598176</v>
      </c>
      <c r="N297" s="13" t="n">
        <f aca="false">INDEX(Předpoklady!$D$18:$D$21,MATCH(M297,Předpoklady!$A$18:$A$21,1))</f>
        <v>0.0042</v>
      </c>
      <c r="O297" s="19" t="n">
        <f aca="false">M297*(1-N297/12)</f>
        <v>2839182.49418717</v>
      </c>
      <c r="P297" s="19" t="n">
        <f aca="false">P296+M297*N297/12</f>
        <v>121238.927147407</v>
      </c>
    </row>
    <row r="298" customFormat="false" ht="15" hidden="false" customHeight="false" outlineLevel="0" collapsed="false">
      <c r="A298" s="18" t="n">
        <v>297</v>
      </c>
      <c r="B298" s="18" t="n">
        <f aca="false">ROUNDUP(A298/12,0)</f>
        <v>25</v>
      </c>
      <c r="C298" s="17" t="n">
        <f aca="false">Předpoklady!$B$4</f>
        <v>4000</v>
      </c>
      <c r="D298" s="19" t="n">
        <f aca="false">(F297+C298)*(1+Předpoklady!$B$12)</f>
        <v>2890443.34955324</v>
      </c>
      <c r="E298" s="13" t="n">
        <f aca="false">INDEX(Předpoklady!$C$18:$C$21,MATCH(D298,Předpoklady!$A$18:$A$21,1))</f>
        <v>0.0036</v>
      </c>
      <c r="F298" s="19" t="n">
        <f aca="false">D298*(1-E298/12)</f>
        <v>2889576.21654838</v>
      </c>
      <c r="G298" s="19" t="n">
        <f aca="false">(G297+C298)*(1+Předpoklady!$B$12)*(1-Předpoklady!$B$9/12)</f>
        <v>2943581.39512443</v>
      </c>
      <c r="H298" s="19" t="n">
        <f aca="false">IF(AND(A298&gt;12,MOD(A298,12)=Předpoklady!$B$8),Předpoklady!$B$14,0)</f>
        <v>0</v>
      </c>
      <c r="I298" s="19" t="n">
        <f aca="false">I297+H298</f>
        <v>172800</v>
      </c>
      <c r="J298" s="19" t="n">
        <f aca="false">J297*(1+Předpoklady!$B$12)*(1-Předpoklady!$B$9/12)+H298</f>
        <v>411936.221511388</v>
      </c>
      <c r="K298" s="19" t="n">
        <f aca="false">K297+D298*E298/12</f>
        <v>105493.309760094</v>
      </c>
      <c r="L298" s="19" t="n">
        <f aca="false">L297+((G297+C298)+J297)*(1+Předpoklady!$B$12)*Předpoklady!$B$9/12</f>
        <v>92823.2279219125</v>
      </c>
      <c r="M298" s="19" t="n">
        <f aca="false">(O297+C298)*(1+Předpoklady!$B$12)</f>
        <v>2859258.26137223</v>
      </c>
      <c r="N298" s="13" t="n">
        <f aca="false">INDEX(Předpoklady!$D$18:$D$21,MATCH(M298,Předpoklady!$A$18:$A$21,1))</f>
        <v>0.0042</v>
      </c>
      <c r="O298" s="19" t="n">
        <f aca="false">M298*(1-N298/12)</f>
        <v>2858257.52098075</v>
      </c>
      <c r="P298" s="19" t="n">
        <f aca="false">P297+M298*N298/12</f>
        <v>122239.667538887</v>
      </c>
    </row>
    <row r="299" customFormat="false" ht="15" hidden="false" customHeight="false" outlineLevel="0" collapsed="false">
      <c r="A299" s="18" t="n">
        <v>298</v>
      </c>
      <c r="B299" s="18" t="n">
        <f aca="false">ROUNDUP(A299/12,0)</f>
        <v>25</v>
      </c>
      <c r="C299" s="17" t="n">
        <f aca="false">Předpoklady!$B$4</f>
        <v>4000</v>
      </c>
      <c r="D299" s="19" t="n">
        <f aca="false">(F298+C299)*(1+Předpoklady!$B$12)</f>
        <v>2909936.91716628</v>
      </c>
      <c r="E299" s="13" t="n">
        <f aca="false">INDEX(Předpoklady!$C$18:$C$21,MATCH(D299,Předpoklady!$A$18:$A$21,1))</f>
        <v>0.0036</v>
      </c>
      <c r="F299" s="19" t="n">
        <f aca="false">D299*(1-E299/12)</f>
        <v>2909063.93609113</v>
      </c>
      <c r="G299" s="19" t="n">
        <f aca="false">(G298+C299)*(1+Předpoklady!$B$12)*(1-Předpoklady!$B$9/12)</f>
        <v>2963506.38701146</v>
      </c>
      <c r="H299" s="19" t="n">
        <f aca="false">IF(AND(A299&gt;12,MOD(A299,12)=Předpoklady!$B$8),Předpoklady!$B$14,0)</f>
        <v>0</v>
      </c>
      <c r="I299" s="19" t="n">
        <f aca="false">I298+H299</f>
        <v>172800</v>
      </c>
      <c r="J299" s="19" t="n">
        <f aca="false">J298*(1+Předpoklady!$B$12)*(1-Předpoklady!$B$9/12)+H299</f>
        <v>414161.802455953</v>
      </c>
      <c r="K299" s="19" t="n">
        <f aca="false">K298+D299*E299/12</f>
        <v>106366.290835244</v>
      </c>
      <c r="L299" s="19" t="n">
        <f aca="false">L298+((G298+C299)+J298)*(1+Předpoklady!$B$12)*Předpoklady!$B$9/12</f>
        <v>93667.8561263305</v>
      </c>
      <c r="M299" s="19" t="n">
        <f aca="false">(O298+C299)*(1+Předpoklady!$B$12)</f>
        <v>2878441.14114057</v>
      </c>
      <c r="N299" s="13" t="n">
        <f aca="false">INDEX(Předpoklady!$D$18:$D$21,MATCH(M299,Předpoklady!$A$18:$A$21,1))</f>
        <v>0.0042</v>
      </c>
      <c r="O299" s="19" t="n">
        <f aca="false">M299*(1-N299/12)</f>
        <v>2877433.68674117</v>
      </c>
      <c r="P299" s="19" t="n">
        <f aca="false">P298+M299*N299/12</f>
        <v>123247.121938286</v>
      </c>
    </row>
    <row r="300" customFormat="false" ht="15" hidden="false" customHeight="false" outlineLevel="0" collapsed="false">
      <c r="A300" s="18" t="n">
        <v>299</v>
      </c>
      <c r="B300" s="18" t="n">
        <f aca="false">ROUNDUP(A300/12,0)</f>
        <v>25</v>
      </c>
      <c r="C300" s="17" t="n">
        <f aca="false">Předpoklady!$B$4</f>
        <v>4000</v>
      </c>
      <c r="D300" s="19" t="n">
        <f aca="false">(F299+C300)*(1+Předpoklady!$B$12)</f>
        <v>2929534.8231086</v>
      </c>
      <c r="E300" s="13" t="n">
        <f aca="false">INDEX(Předpoklady!$C$18:$C$21,MATCH(D300,Předpoklady!$A$18:$A$21,1))</f>
        <v>0.0036</v>
      </c>
      <c r="F300" s="19" t="n">
        <f aca="false">D300*(1-E300/12)</f>
        <v>2928655.96266167</v>
      </c>
      <c r="G300" s="19" t="n">
        <f aca="false">(G299+C300)*(1+Předpoklady!$B$12)*(1-Předpoklady!$B$9/12)</f>
        <v>2983539.02828678</v>
      </c>
      <c r="H300" s="19" t="n">
        <f aca="false">IF(AND(A300&gt;12,MOD(A300,12)=Předpoklady!$B$8),Předpoklady!$B$14,0)</f>
        <v>0</v>
      </c>
      <c r="I300" s="19" t="n">
        <f aca="false">I299+H300</f>
        <v>172800</v>
      </c>
      <c r="J300" s="19" t="n">
        <f aca="false">J299*(1+Předpoklady!$B$12)*(1-Předpoklady!$B$9/12)+H300</f>
        <v>416399.407617573</v>
      </c>
      <c r="K300" s="19" t="n">
        <f aca="false">K299+D300*E300/12</f>
        <v>107245.151282177</v>
      </c>
      <c r="L300" s="19" t="n">
        <f aca="false">L299+((G299+C300)+J299)*(1+Předpoklady!$B$12)*Předpoklady!$B$9/12</f>
        <v>94518.0532845961</v>
      </c>
      <c r="M300" s="19" t="n">
        <f aca="false">(O299+C300)*(1+Předpoklady!$B$12)</f>
        <v>2897725.73173017</v>
      </c>
      <c r="N300" s="13" t="n">
        <f aca="false">INDEX(Předpoklady!$D$18:$D$21,MATCH(M300,Předpoklady!$A$18:$A$21,1))</f>
        <v>0.0042</v>
      </c>
      <c r="O300" s="19" t="n">
        <f aca="false">M300*(1-N300/12)</f>
        <v>2896711.52772406</v>
      </c>
      <c r="P300" s="19" t="n">
        <f aca="false">P299+M300*N300/12</f>
        <v>124261.325944392</v>
      </c>
    </row>
    <row r="301" customFormat="false" ht="15" hidden="false" customHeight="false" outlineLevel="0" collapsed="false">
      <c r="A301" s="18" t="n">
        <v>300</v>
      </c>
      <c r="B301" s="18" t="n">
        <f aca="false">ROUNDUP(A301/12,0)</f>
        <v>25</v>
      </c>
      <c r="C301" s="17" t="n">
        <f aca="false">Předpoklady!$B$4</f>
        <v>4000</v>
      </c>
      <c r="D301" s="19" t="n">
        <f aca="false">(F300+C301)*(1+Předpoklady!$B$12)</f>
        <v>2949237.6258458</v>
      </c>
      <c r="E301" s="13" t="n">
        <f aca="false">INDEX(Předpoklady!$C$18:$C$21,MATCH(D301,Předpoklady!$A$18:$A$21,1))</f>
        <v>0.0036</v>
      </c>
      <c r="F301" s="19" t="n">
        <f aca="false">D301*(1-E301/12)</f>
        <v>2948352.85455804</v>
      </c>
      <c r="G301" s="19" t="n">
        <f aca="false">(G300+C301)*(1+Předpoklady!$B$12)*(1-Předpoklady!$B$9/12)</f>
        <v>3003679.90055119</v>
      </c>
      <c r="H301" s="19" t="n">
        <f aca="false">IF(AND(A301&gt;12,MOD(A301,12)=Předpoklady!$B$8),Předpoklady!$B$14,0)</f>
        <v>0</v>
      </c>
      <c r="I301" s="19" t="n">
        <f aca="false">I300+H301</f>
        <v>172800</v>
      </c>
      <c r="J301" s="19" t="n">
        <f aca="false">J300*(1+Předpoklady!$B$12)*(1-Předpoklady!$B$9/12)+H301</f>
        <v>418649.10195987</v>
      </c>
      <c r="K301" s="19" t="n">
        <f aca="false">K300+D301*E301/12</f>
        <v>108129.92256993</v>
      </c>
      <c r="L301" s="19" t="n">
        <f aca="false">L300+((G300+C301)+J300)*(1+Předpoklady!$B$12)*Předpoklady!$B$9/12</f>
        <v>95373.8494842738</v>
      </c>
      <c r="M301" s="19" t="n">
        <f aca="false">(O300+C301)*(1+Předpoklady!$B$12)</f>
        <v>2917112.57242874</v>
      </c>
      <c r="N301" s="13" t="n">
        <f aca="false">INDEX(Předpoklady!$D$18:$D$21,MATCH(M301,Předpoklady!$A$18:$A$21,1))</f>
        <v>0.0042</v>
      </c>
      <c r="O301" s="19" t="n">
        <f aca="false">M301*(1-N301/12)</f>
        <v>2916091.58302839</v>
      </c>
      <c r="P301" s="19" t="n">
        <f aca="false">P300+M301*N301/12</f>
        <v>125282.315344742</v>
      </c>
    </row>
    <row r="302" customFormat="false" ht="15" hidden="false" customHeight="false" outlineLevel="0" collapsed="false">
      <c r="A302" s="18" t="n">
        <v>301</v>
      </c>
      <c r="B302" s="18" t="n">
        <f aca="false">ROUNDUP(A302/12,0)</f>
        <v>26</v>
      </c>
      <c r="C302" s="17" t="n">
        <f aca="false">Předpoklady!$B$4</f>
        <v>4000</v>
      </c>
      <c r="D302" s="19" t="n">
        <f aca="false">(F301+C302)*(1+Předpoklady!$B$12)</f>
        <v>2969045.88683263</v>
      </c>
      <c r="E302" s="13" t="n">
        <f aca="false">INDEX(Předpoklady!$C$18:$C$21,MATCH(D302,Předpoklady!$A$18:$A$21,1))</f>
        <v>0.0036</v>
      </c>
      <c r="F302" s="19" t="n">
        <f aca="false">D302*(1-E302/12)</f>
        <v>2968155.17306658</v>
      </c>
      <c r="G302" s="19" t="n">
        <f aca="false">(G301+C302)*(1+Předpoklady!$B$12)*(1-Předpoklady!$B$9/12)</f>
        <v>3023929.58854768</v>
      </c>
      <c r="H302" s="19" t="n">
        <f aca="false">IF(AND(A302&gt;12,MOD(A302,12)=Předpoklady!$B$8),Předpoklady!$B$14,0)</f>
        <v>0</v>
      </c>
      <c r="I302" s="19" t="n">
        <f aca="false">I301+H302</f>
        <v>172800</v>
      </c>
      <c r="J302" s="19" t="n">
        <f aca="false">J301*(1+Předpoklady!$B$12)*(1-Předpoklady!$B$9/12)+H302</f>
        <v>420910.950797446</v>
      </c>
      <c r="K302" s="19" t="n">
        <f aca="false">K301+D302*E302/12</f>
        <v>109020.63633598</v>
      </c>
      <c r="L302" s="19" t="n">
        <f aca="false">L301+((G301+C302)+J301)*(1+Předpoklady!$B$12)*Předpoklady!$B$9/12</f>
        <v>96235.2749754829</v>
      </c>
      <c r="M302" s="19" t="n">
        <f aca="false">(O301+C302)*(1+Předpoklady!$B$12)</f>
        <v>2936602.20538337</v>
      </c>
      <c r="N302" s="13" t="n">
        <f aca="false">INDEX(Předpoklady!$D$18:$D$21,MATCH(M302,Předpoklady!$A$18:$A$21,1))</f>
        <v>0.0042</v>
      </c>
      <c r="O302" s="19" t="n">
        <f aca="false">M302*(1-N302/12)</f>
        <v>2935574.39461149</v>
      </c>
      <c r="P302" s="19" t="n">
        <f aca="false">P301+M302*N302/12</f>
        <v>126310.126116626</v>
      </c>
    </row>
    <row r="303" customFormat="false" ht="15" hidden="false" customHeight="false" outlineLevel="0" collapsed="false">
      <c r="A303" s="18" t="n">
        <v>302</v>
      </c>
      <c r="B303" s="18" t="n">
        <f aca="false">ROUNDUP(A303/12,0)</f>
        <v>26</v>
      </c>
      <c r="C303" s="17" t="n">
        <f aca="false">Předpoklady!$B$4</f>
        <v>4000</v>
      </c>
      <c r="D303" s="19" t="n">
        <f aca="false">(F302+C303)*(1+Předpoklady!$B$12)</f>
        <v>2988960.17052903</v>
      </c>
      <c r="E303" s="13" t="n">
        <f aca="false">INDEX(Předpoklady!$C$18:$C$21,MATCH(D303,Předpoklady!$A$18:$A$21,1))</f>
        <v>0.0036</v>
      </c>
      <c r="F303" s="19" t="n">
        <f aca="false">D303*(1-E303/12)</f>
        <v>2988063.48247787</v>
      </c>
      <c r="G303" s="19" t="n">
        <f aca="false">(G302+C303)*(1+Předpoklady!$B$12)*(1-Předpoklady!$B$9/12)</f>
        <v>3044288.68017849</v>
      </c>
      <c r="H303" s="19" t="n">
        <f aca="false">IF(AND(A303&gt;12,MOD(A303,12)=Předpoklady!$B$8),Předpoklady!$B$14,0)</f>
        <v>0</v>
      </c>
      <c r="I303" s="19" t="n">
        <f aca="false">I302+H303</f>
        <v>172800</v>
      </c>
      <c r="J303" s="19" t="n">
        <f aca="false">J302*(1+Předpoklady!$B$12)*(1-Předpoklady!$B$9/12)+H303</f>
        <v>423185.019797779</v>
      </c>
      <c r="K303" s="19" t="n">
        <f aca="false">K302+D303*E303/12</f>
        <v>109917.324387139</v>
      </c>
      <c r="L303" s="19" t="n">
        <f aca="false">L302+((G302+C303)+J302)*(1+Předpoklady!$B$12)*Předpoklady!$B$9/12</f>
        <v>97102.3601717761</v>
      </c>
      <c r="M303" s="19" t="n">
        <f aca="false">(O302+C303)*(1+Předpoklady!$B$12)</f>
        <v>2956195.17561571</v>
      </c>
      <c r="N303" s="13" t="n">
        <f aca="false">INDEX(Předpoklady!$D$18:$D$21,MATCH(M303,Předpoklady!$A$18:$A$21,1))</f>
        <v>0.0042</v>
      </c>
      <c r="O303" s="19" t="n">
        <f aca="false">M303*(1-N303/12)</f>
        <v>2955160.50730425</v>
      </c>
      <c r="P303" s="19" t="n">
        <f aca="false">P302+M303*N303/12</f>
        <v>127344.794428091</v>
      </c>
    </row>
    <row r="304" customFormat="false" ht="15" hidden="false" customHeight="false" outlineLevel="0" collapsed="false">
      <c r="A304" s="18" t="n">
        <v>303</v>
      </c>
      <c r="B304" s="18" t="n">
        <f aca="false">ROUNDUP(A304/12,0)</f>
        <v>26</v>
      </c>
      <c r="C304" s="17" t="n">
        <f aca="false">Předpoklady!$B$4</f>
        <v>4000</v>
      </c>
      <c r="D304" s="19" t="n">
        <f aca="false">(F303+C304)*(1+Předpoklady!$B$12)</f>
        <v>3008981.04441615</v>
      </c>
      <c r="E304" s="13" t="n">
        <f aca="false">INDEX(Předpoklady!$C$18:$C$21,MATCH(D304,Předpoklady!$A$18:$A$21,1))</f>
        <v>0.0036</v>
      </c>
      <c r="F304" s="19" t="n">
        <f aca="false">D304*(1-E304/12)</f>
        <v>3008078.35010282</v>
      </c>
      <c r="G304" s="19" t="n">
        <f aca="false">(G303+C304)*(1+Předpoklady!$B$12)*(1-Předpoklady!$B$9/12)</f>
        <v>3064757.76652212</v>
      </c>
      <c r="H304" s="19" t="n">
        <f aca="false">IF(AND(A304&gt;12,MOD(A304,12)=Předpoklady!$B$8),Předpoklady!$B$14,0)</f>
        <v>0</v>
      </c>
      <c r="I304" s="19" t="n">
        <f aca="false">I303+H304</f>
        <v>172800</v>
      </c>
      <c r="J304" s="19" t="n">
        <f aca="false">J303*(1+Předpoklady!$B$12)*(1-Předpoklady!$B$9/12)+H304</f>
        <v>425471.374983131</v>
      </c>
      <c r="K304" s="19" t="n">
        <f aca="false">K303+D304*E304/12</f>
        <v>110820.018700464</v>
      </c>
      <c r="L304" s="19" t="n">
        <f aca="false">L303+((G303+C304)+J303)*(1+Předpoklady!$B$12)*Předpoklady!$B$9/12</f>
        <v>97975.1356510222</v>
      </c>
      <c r="M304" s="19" t="n">
        <f aca="false">(O303+C304)*(1+Předpoklady!$B$12)</f>
        <v>2975892.03103721</v>
      </c>
      <c r="N304" s="13" t="n">
        <f aca="false">INDEX(Předpoklady!$D$18:$D$21,MATCH(M304,Předpoklady!$A$18:$A$21,1))</f>
        <v>0.0042</v>
      </c>
      <c r="O304" s="19" t="n">
        <f aca="false">M304*(1-N304/12)</f>
        <v>2974850.46882635</v>
      </c>
      <c r="P304" s="19" t="n">
        <f aca="false">P303+M304*N304/12</f>
        <v>128386.356638954</v>
      </c>
    </row>
    <row r="305" customFormat="false" ht="15" hidden="false" customHeight="false" outlineLevel="0" collapsed="false">
      <c r="A305" s="18" t="n">
        <v>304</v>
      </c>
      <c r="B305" s="18" t="n">
        <f aca="false">ROUNDUP(A305/12,0)</f>
        <v>26</v>
      </c>
      <c r="C305" s="17" t="n">
        <f aca="false">Předpoklady!$B$4</f>
        <v>4000</v>
      </c>
      <c r="D305" s="19" t="n">
        <f aca="false">(F304+C305)*(1+Předpoklady!$B$12)</f>
        <v>3029109.07901256</v>
      </c>
      <c r="E305" s="13" t="n">
        <f aca="false">INDEX(Předpoklady!$C$18:$C$21,MATCH(D305,Předpoklady!$A$18:$A$21,1))</f>
        <v>0.0036</v>
      </c>
      <c r="F305" s="19" t="n">
        <f aca="false">D305*(1-E305/12)</f>
        <v>3028200.34628886</v>
      </c>
      <c r="G305" s="19" t="n">
        <f aca="false">(G304+C305)*(1+Předpoklady!$B$12)*(1-Předpoklady!$B$9/12)</f>
        <v>3085337.44185049</v>
      </c>
      <c r="H305" s="19" t="n">
        <f aca="false">IF(AND(A305&gt;12,MOD(A305,12)=Předpoklady!$B$8),Předpoklady!$B$14,0)</f>
        <v>7200</v>
      </c>
      <c r="I305" s="19" t="n">
        <f aca="false">I304+H305</f>
        <v>180000</v>
      </c>
      <c r="J305" s="19" t="n">
        <f aca="false">J304*(1+Předpoklady!$B$12)*(1-Předpoklady!$B$9/12)+H305</f>
        <v>434970.082732466</v>
      </c>
      <c r="K305" s="19" t="n">
        <f aca="false">K304+D305*E305/12</f>
        <v>111728.751424168</v>
      </c>
      <c r="L305" s="19" t="n">
        <f aca="false">L304+((G304+C305)+J304)*(1+Předpoklady!$B$12)*Předpoklady!$B$9/12</f>
        <v>98853.6321562942</v>
      </c>
      <c r="M305" s="19" t="n">
        <f aca="false">(O304+C305)*(1+Předpoklady!$B$12)</f>
        <v>2995693.32246443</v>
      </c>
      <c r="N305" s="13" t="n">
        <f aca="false">INDEX(Předpoklady!$D$18:$D$21,MATCH(M305,Předpoklady!$A$18:$A$21,1))</f>
        <v>0.0042</v>
      </c>
      <c r="O305" s="19" t="n">
        <f aca="false">M305*(1-N305/12)</f>
        <v>2994644.82980157</v>
      </c>
      <c r="P305" s="19" t="n">
        <f aca="false">P304+M305*N305/12</f>
        <v>129434.849301817</v>
      </c>
    </row>
    <row r="306" customFormat="false" ht="15" hidden="false" customHeight="false" outlineLevel="0" collapsed="false">
      <c r="A306" s="18" t="n">
        <v>305</v>
      </c>
      <c r="B306" s="18" t="n">
        <f aca="false">ROUNDUP(A306/12,0)</f>
        <v>26</v>
      </c>
      <c r="C306" s="17" t="n">
        <f aca="false">Předpoklady!$B$4</f>
        <v>4000</v>
      </c>
      <c r="D306" s="19" t="n">
        <f aca="false">(F305+C306)*(1+Předpoklady!$B$12)</f>
        <v>3049344.84789052</v>
      </c>
      <c r="E306" s="13" t="n">
        <f aca="false">INDEX(Předpoklady!$C$18:$C$21,MATCH(D306,Předpoklady!$A$18:$A$21,1))</f>
        <v>0.0036</v>
      </c>
      <c r="F306" s="19" t="n">
        <f aca="false">D306*(1-E306/12)</f>
        <v>3048430.04443615</v>
      </c>
      <c r="G306" s="19" t="n">
        <f aca="false">(G305+C306)*(1+Předpoklady!$B$12)*(1-Předpoklady!$B$9/12)</f>
        <v>3106028.30364624</v>
      </c>
      <c r="H306" s="19" t="n">
        <f aca="false">IF(AND(A306&gt;12,MOD(A306,12)=Předpoklady!$B$8),Předpoklady!$B$14,0)</f>
        <v>0</v>
      </c>
      <c r="I306" s="19" t="n">
        <f aca="false">I305+H306</f>
        <v>180000</v>
      </c>
      <c r="J306" s="19" t="n">
        <f aca="false">J305*(1+Předpoklady!$B$12)*(1-Předpoklady!$B$9/12)+H306</f>
        <v>437320.109452702</v>
      </c>
      <c r="K306" s="19" t="n">
        <f aca="false">K305+D306*E306/12</f>
        <v>112643.554878535</v>
      </c>
      <c r="L306" s="19" t="n">
        <f aca="false">L305+((G305+C306)+J305)*(1+Předpoklady!$B$12)*Předpoklady!$B$9/12</f>
        <v>99739.6907742235</v>
      </c>
      <c r="M306" s="19" t="n">
        <f aca="false">(O305+C306)*(1+Předpoklady!$B$12)</f>
        <v>3015599.60363446</v>
      </c>
      <c r="N306" s="13" t="n">
        <f aca="false">INDEX(Předpoklady!$D$18:$D$21,MATCH(M306,Předpoklady!$A$18:$A$21,1))</f>
        <v>0.0042</v>
      </c>
      <c r="O306" s="19" t="n">
        <f aca="false">M306*(1-N306/12)</f>
        <v>3014544.14377319</v>
      </c>
      <c r="P306" s="19" t="n">
        <f aca="false">P305+M306*N306/12</f>
        <v>130490.309163089</v>
      </c>
    </row>
    <row r="307" customFormat="false" ht="15" hidden="false" customHeight="false" outlineLevel="0" collapsed="false">
      <c r="A307" s="18" t="n">
        <v>306</v>
      </c>
      <c r="B307" s="18" t="n">
        <f aca="false">ROUNDUP(A307/12,0)</f>
        <v>26</v>
      </c>
      <c r="C307" s="17" t="n">
        <f aca="false">Předpoklady!$B$4</f>
        <v>4000</v>
      </c>
      <c r="D307" s="19" t="n">
        <f aca="false">(F306+C307)*(1+Předpoklady!$B$12)</f>
        <v>3069688.92769227</v>
      </c>
      <c r="E307" s="13" t="n">
        <f aca="false">INDEX(Předpoklady!$C$18:$C$21,MATCH(D307,Předpoklady!$A$18:$A$21,1))</f>
        <v>0.0036</v>
      </c>
      <c r="F307" s="19" t="n">
        <f aca="false">D307*(1-E307/12)</f>
        <v>3068768.02101397</v>
      </c>
      <c r="G307" s="19" t="n">
        <f aca="false">(G306+C307)*(1+Předpoklady!$B$12)*(1-Předpoklady!$B$9/12)</f>
        <v>3126830.95262004</v>
      </c>
      <c r="H307" s="19" t="n">
        <f aca="false">IF(AND(A307&gt;12,MOD(A307,12)=Předpoklady!$B$8),Předpoklady!$B$14,0)</f>
        <v>0</v>
      </c>
      <c r="I307" s="19" t="n">
        <f aca="false">I306+H307</f>
        <v>180000</v>
      </c>
      <c r="J307" s="19" t="n">
        <f aca="false">J306*(1+Předpoklady!$B$12)*(1-Předpoklady!$B$9/12)+H307</f>
        <v>439682.832737151</v>
      </c>
      <c r="K307" s="19" t="n">
        <f aca="false">K306+D307*E307/12</f>
        <v>113564.461556842</v>
      </c>
      <c r="L307" s="19" t="n">
        <f aca="false">L306+((G306+C307)+J306)*(1+Předpoklady!$B$12)*Předpoklady!$B$9/12</f>
        <v>100631.542183415</v>
      </c>
      <c r="M307" s="19" t="n">
        <f aca="false">(O306+C307)*(1+Předpoklady!$B$12)</f>
        <v>3035611.43122038</v>
      </c>
      <c r="N307" s="13" t="n">
        <f aca="false">INDEX(Předpoklady!$D$18:$D$21,MATCH(M307,Předpoklady!$A$18:$A$21,1))</f>
        <v>0.0042</v>
      </c>
      <c r="O307" s="19" t="n">
        <f aca="false">M307*(1-N307/12)</f>
        <v>3034548.96721946</v>
      </c>
      <c r="P307" s="19" t="n">
        <f aca="false">P306+M307*N307/12</f>
        <v>131552.773164016</v>
      </c>
    </row>
    <row r="308" customFormat="false" ht="15" hidden="false" customHeight="false" outlineLevel="0" collapsed="false">
      <c r="A308" s="18" t="n">
        <v>307</v>
      </c>
      <c r="B308" s="18" t="n">
        <f aca="false">ROUNDUP(A308/12,0)</f>
        <v>26</v>
      </c>
      <c r="C308" s="17" t="n">
        <f aca="false">Předpoklady!$B$4</f>
        <v>4000</v>
      </c>
      <c r="D308" s="19" t="n">
        <f aca="false">(F307+C308)*(1+Předpoklady!$B$12)</f>
        <v>3090141.89814655</v>
      </c>
      <c r="E308" s="13" t="n">
        <f aca="false">INDEX(Předpoklady!$C$18:$C$21,MATCH(D308,Předpoklady!$A$18:$A$21,1))</f>
        <v>0.0036</v>
      </c>
      <c r="F308" s="19" t="n">
        <f aca="false">D308*(1-E308/12)</f>
        <v>3089214.8555771</v>
      </c>
      <c r="G308" s="19" t="n">
        <f aca="false">(G307+C308)*(1+Předpoklady!$B$12)*(1-Předpoklady!$B$9/12)</f>
        <v>3147745.99272804</v>
      </c>
      <c r="H308" s="19" t="n">
        <f aca="false">IF(AND(A308&gt;12,MOD(A308,12)=Předpoklady!$B$8),Předpoklady!$B$14,0)</f>
        <v>0</v>
      </c>
      <c r="I308" s="19" t="n">
        <f aca="false">I307+H308</f>
        <v>180000</v>
      </c>
      <c r="J308" s="19" t="n">
        <f aca="false">J307*(1+Předpoklady!$B$12)*(1-Předpoklady!$B$9/12)+H308</f>
        <v>442058.321181943</v>
      </c>
      <c r="K308" s="19" t="n">
        <f aca="false">K307+D308*E308/12</f>
        <v>114491.504126286</v>
      </c>
      <c r="L308" s="19" t="n">
        <f aca="false">L307+((G307+C308)+J307)*(1+Předpoklady!$B$12)*Předpoklady!$B$9/12</f>
        <v>101529.217680767</v>
      </c>
      <c r="M308" s="19" t="n">
        <f aca="false">(O307+C308)*(1+Předpoklady!$B$12)</f>
        <v>3055729.36484687</v>
      </c>
      <c r="N308" s="13" t="n">
        <f aca="false">INDEX(Předpoklady!$D$18:$D$21,MATCH(M308,Předpoklady!$A$18:$A$21,1))</f>
        <v>0.0042</v>
      </c>
      <c r="O308" s="19" t="n">
        <f aca="false">M308*(1-N308/12)</f>
        <v>3054659.85956917</v>
      </c>
      <c r="P308" s="19" t="n">
        <f aca="false">P307+M308*N308/12</f>
        <v>132622.278441713</v>
      </c>
    </row>
    <row r="309" customFormat="false" ht="15" hidden="false" customHeight="false" outlineLevel="0" collapsed="false">
      <c r="A309" s="18" t="n">
        <v>308</v>
      </c>
      <c r="B309" s="18" t="n">
        <f aca="false">ROUNDUP(A309/12,0)</f>
        <v>26</v>
      </c>
      <c r="C309" s="17" t="n">
        <f aca="false">Předpoklady!$B$4</f>
        <v>4000</v>
      </c>
      <c r="D309" s="19" t="n">
        <f aca="false">(F308+C309)*(1+Předpoklady!$B$12)</f>
        <v>3110704.34208502</v>
      </c>
      <c r="E309" s="13" t="n">
        <f aca="false">INDEX(Předpoklady!$C$18:$C$21,MATCH(D309,Předpoklady!$A$18:$A$21,1))</f>
        <v>0.0036</v>
      </c>
      <c r="F309" s="19" t="n">
        <f aca="false">D309*(1-E309/12)</f>
        <v>3109771.13078239</v>
      </c>
      <c r="G309" s="19" t="n">
        <f aca="false">(G308+C309)*(1+Předpoklady!$B$12)*(1-Předpoklady!$B$9/12)</f>
        <v>3168774.0311894</v>
      </c>
      <c r="H309" s="19" t="n">
        <f aca="false">IF(AND(A309&gt;12,MOD(A309,12)=Předpoklady!$B$8),Předpoklady!$B$14,0)</f>
        <v>0</v>
      </c>
      <c r="I309" s="19" t="n">
        <f aca="false">I308+H309</f>
        <v>180000</v>
      </c>
      <c r="J309" s="19" t="n">
        <f aca="false">J308*(1+Předpoklady!$B$12)*(1-Předpoklady!$B$9/12)+H309</f>
        <v>444446.643753818</v>
      </c>
      <c r="K309" s="19" t="n">
        <f aca="false">K308+D309*E309/12</f>
        <v>115424.715428912</v>
      </c>
      <c r="L309" s="19" t="n">
        <f aca="false">L308+((G308+C309)+J308)*(1+Předpoklady!$B$12)*Předpoklady!$B$9/12</f>
        <v>102432.748732266</v>
      </c>
      <c r="M309" s="19" t="n">
        <f aca="false">(O308+C309)*(1+Předpoklady!$B$12)</f>
        <v>3075953.96710579</v>
      </c>
      <c r="N309" s="13" t="n">
        <f aca="false">INDEX(Předpoklady!$D$18:$D$21,MATCH(M309,Předpoklady!$A$18:$A$21,1))</f>
        <v>0.0042</v>
      </c>
      <c r="O309" s="19" t="n">
        <f aca="false">M309*(1-N309/12)</f>
        <v>3074877.38321731</v>
      </c>
      <c r="P309" s="19" t="n">
        <f aca="false">P308+M309*N309/12</f>
        <v>133698.8623302</v>
      </c>
    </row>
    <row r="310" customFormat="false" ht="15" hidden="false" customHeight="false" outlineLevel="0" collapsed="false">
      <c r="A310" s="18" t="n">
        <v>309</v>
      </c>
      <c r="B310" s="18" t="n">
        <f aca="false">ROUNDUP(A310/12,0)</f>
        <v>26</v>
      </c>
      <c r="C310" s="17" t="n">
        <f aca="false">Předpoklady!$B$4</f>
        <v>4000</v>
      </c>
      <c r="D310" s="19" t="n">
        <f aca="false">(F309+C310)*(1+Předpoklady!$B$12)</f>
        <v>3131376.84545894</v>
      </c>
      <c r="E310" s="13" t="n">
        <f aca="false">INDEX(Předpoklady!$C$18:$C$21,MATCH(D310,Předpoklady!$A$18:$A$21,1))</f>
        <v>0.0036</v>
      </c>
      <c r="F310" s="19" t="n">
        <f aca="false">D310*(1-E310/12)</f>
        <v>3130437.43240531</v>
      </c>
      <c r="G310" s="19" t="n">
        <f aca="false">(G309+C310)*(1+Předpoklady!$B$12)*(1-Předpoklady!$B$9/12)</f>
        <v>3189915.67850392</v>
      </c>
      <c r="H310" s="19" t="n">
        <f aca="false">IF(AND(A310&gt;12,MOD(A310,12)=Předpoklady!$B$8),Předpoklady!$B$14,0)</f>
        <v>0</v>
      </c>
      <c r="I310" s="19" t="n">
        <f aca="false">I309+H310</f>
        <v>180000</v>
      </c>
      <c r="J310" s="19" t="n">
        <f aca="false">J309*(1+Předpoklady!$B$12)*(1-Předpoklady!$B$9/12)+H310</f>
        <v>446847.869792123</v>
      </c>
      <c r="K310" s="19" t="n">
        <f aca="false">K309+D310*E310/12</f>
        <v>116364.12848255</v>
      </c>
      <c r="L310" s="19" t="n">
        <f aca="false">L309+((G309+C310)+J309)*(1+Předpoklady!$B$12)*Předpoklady!$B$9/12</f>
        <v>103342.1669739</v>
      </c>
      <c r="M310" s="19" t="n">
        <f aca="false">(O309+C310)*(1+Předpoklady!$B$12)</f>
        <v>3096285.80357201</v>
      </c>
      <c r="N310" s="13" t="n">
        <f aca="false">INDEX(Předpoklady!$D$18:$D$21,MATCH(M310,Předpoklady!$A$18:$A$21,1))</f>
        <v>0.0042</v>
      </c>
      <c r="O310" s="19" t="n">
        <f aca="false">M310*(1-N310/12)</f>
        <v>3095202.10354076</v>
      </c>
      <c r="P310" s="19" t="n">
        <f aca="false">P309+M310*N310/12</f>
        <v>134782.56236145</v>
      </c>
    </row>
    <row r="311" customFormat="false" ht="15" hidden="false" customHeight="false" outlineLevel="0" collapsed="false">
      <c r="A311" s="18" t="n">
        <v>310</v>
      </c>
      <c r="B311" s="18" t="n">
        <f aca="false">ROUNDUP(A311/12,0)</f>
        <v>26</v>
      </c>
      <c r="C311" s="17" t="n">
        <f aca="false">Předpoklady!$B$4</f>
        <v>4000</v>
      </c>
      <c r="D311" s="19" t="n">
        <f aca="false">(F310+C311)*(1+Předpoklady!$B$12)</f>
        <v>3152159.99735585</v>
      </c>
      <c r="E311" s="13" t="n">
        <f aca="false">INDEX(Předpoklady!$C$18:$C$21,MATCH(D311,Předpoklady!$A$18:$A$21,1))</f>
        <v>0.0036</v>
      </c>
      <c r="F311" s="19" t="n">
        <f aca="false">D311*(1-E311/12)</f>
        <v>3151214.34935664</v>
      </c>
      <c r="G311" s="19" t="n">
        <f aca="false">(G310+C311)*(1+Předpoklady!$B$12)*(1-Předpoklady!$B$9/12)</f>
        <v>3211171.54846977</v>
      </c>
      <c r="H311" s="19" t="n">
        <f aca="false">IF(AND(A311&gt;12,MOD(A311,12)=Předpoklady!$B$8),Předpoklady!$B$14,0)</f>
        <v>0</v>
      </c>
      <c r="I311" s="19" t="n">
        <f aca="false">I310+H311</f>
        <v>180000</v>
      </c>
      <c r="J311" s="19" t="n">
        <f aca="false">J310*(1+Předpoklady!$B$12)*(1-Předpoklady!$B$9/12)+H311</f>
        <v>449262.069010827</v>
      </c>
      <c r="K311" s="19" t="n">
        <f aca="false">K310+D311*E311/12</f>
        <v>117309.776481756</v>
      </c>
      <c r="L311" s="19" t="n">
        <f aca="false">L310+((G310+C311)+J310)*(1+Předpoklady!$B$12)*Předpoklady!$B$9/12</f>
        <v>104257.50421258</v>
      </c>
      <c r="M311" s="19" t="n">
        <f aca="false">(O310+C311)*(1+Předpoklady!$B$12)</f>
        <v>3116725.44281913</v>
      </c>
      <c r="N311" s="13" t="n">
        <f aca="false">INDEX(Předpoklady!$D$18:$D$21,MATCH(M311,Předpoklady!$A$18:$A$21,1))</f>
        <v>0.0042</v>
      </c>
      <c r="O311" s="19" t="n">
        <f aca="false">M311*(1-N311/12)</f>
        <v>3115634.58891415</v>
      </c>
      <c r="P311" s="19" t="n">
        <f aca="false">P310+M311*N311/12</f>
        <v>135873.416266436</v>
      </c>
    </row>
    <row r="312" customFormat="false" ht="15" hidden="false" customHeight="false" outlineLevel="0" collapsed="false">
      <c r="A312" s="18" t="n">
        <v>311</v>
      </c>
      <c r="B312" s="18" t="n">
        <f aca="false">ROUNDUP(A312/12,0)</f>
        <v>26</v>
      </c>
      <c r="C312" s="17" t="n">
        <f aca="false">Předpoklady!$B$4</f>
        <v>4000</v>
      </c>
      <c r="D312" s="19" t="n">
        <f aca="false">(F311+C312)*(1+Předpoklady!$B$12)</f>
        <v>3173054.39001633</v>
      </c>
      <c r="E312" s="13" t="n">
        <f aca="false">INDEX(Předpoklady!$C$18:$C$21,MATCH(D312,Předpoklady!$A$18:$A$21,1))</f>
        <v>0.0036</v>
      </c>
      <c r="F312" s="19" t="n">
        <f aca="false">D312*(1-E312/12)</f>
        <v>3172102.47369933</v>
      </c>
      <c r="G312" s="19" t="n">
        <f aca="false">(G311+C312)*(1+Předpoklady!$B$12)*(1-Předpoklady!$B$9/12)</f>
        <v>3232542.2582013</v>
      </c>
      <c r="H312" s="19" t="n">
        <f aca="false">IF(AND(A312&gt;12,MOD(A312,12)=Předpoklady!$B$8),Předpoklady!$B$14,0)</f>
        <v>0</v>
      </c>
      <c r="I312" s="19" t="n">
        <f aca="false">I311+H312</f>
        <v>180000</v>
      </c>
      <c r="J312" s="19" t="n">
        <f aca="false">J311*(1+Předpoklady!$B$12)*(1-Předpoklady!$B$9/12)+H312</f>
        <v>451689.311500544</v>
      </c>
      <c r="K312" s="19" t="n">
        <f aca="false">K311+D312*E312/12</f>
        <v>118261.692798761</v>
      </c>
      <c r="L312" s="19" t="n">
        <f aca="false">L311+((G311+C312)+J311)*(1+Předpoklady!$B$12)*Předpoklady!$B$9/12</f>
        <v>105178.792427059</v>
      </c>
      <c r="M312" s="19" t="n">
        <f aca="false">(O311+C312)*(1+Předpoklady!$B$12)</f>
        <v>3137273.45643545</v>
      </c>
      <c r="N312" s="13" t="n">
        <f aca="false">INDEX(Předpoklady!$D$18:$D$21,MATCH(M312,Předpoklady!$A$18:$A$21,1))</f>
        <v>0.0042</v>
      </c>
      <c r="O312" s="19" t="n">
        <f aca="false">M312*(1-N312/12)</f>
        <v>3136175.41072569</v>
      </c>
      <c r="P312" s="19" t="n">
        <f aca="false">P311+M312*N312/12</f>
        <v>136971.461976189</v>
      </c>
    </row>
    <row r="313" customFormat="false" ht="15" hidden="false" customHeight="false" outlineLevel="0" collapsed="false">
      <c r="A313" s="18" t="n">
        <v>312</v>
      </c>
      <c r="B313" s="18" t="n">
        <f aca="false">ROUNDUP(A313/12,0)</f>
        <v>26</v>
      </c>
      <c r="C313" s="17" t="n">
        <f aca="false">Předpoklady!$B$4</f>
        <v>4000</v>
      </c>
      <c r="D313" s="19" t="n">
        <f aca="false">(F312+C313)*(1+Předpoklady!$B$12)</f>
        <v>3194060.61885092</v>
      </c>
      <c r="E313" s="13" t="n">
        <f aca="false">INDEX(Předpoklady!$C$18:$C$21,MATCH(D313,Předpoklady!$A$18:$A$21,1))</f>
        <v>0.0036</v>
      </c>
      <c r="F313" s="19" t="n">
        <f aca="false">D313*(1-E313/12)</f>
        <v>3193102.40066527</v>
      </c>
      <c r="G313" s="19" t="n">
        <f aca="false">(G312+C313)*(1+Předpoklady!$B$12)*(1-Předpoklady!$B$9/12)</f>
        <v>3254028.42814698</v>
      </c>
      <c r="H313" s="19" t="n">
        <f aca="false">IF(AND(A313&gt;12,MOD(A313,12)=Předpoklady!$B$8),Předpoklady!$B$14,0)</f>
        <v>0</v>
      </c>
      <c r="I313" s="19" t="n">
        <f aca="false">I312+H313</f>
        <v>180000</v>
      </c>
      <c r="J313" s="19" t="n">
        <f aca="false">J312*(1+Předpoklady!$B$12)*(1-Předpoklady!$B$9/12)+H313</f>
        <v>454129.667730571</v>
      </c>
      <c r="K313" s="19" t="n">
        <f aca="false">K312+D313*E313/12</f>
        <v>119219.910984417</v>
      </c>
      <c r="L313" s="19" t="n">
        <f aca="false">L312+((G312+C313)+J312)*(1+Předpoklady!$B$12)*Předpoklady!$B$9/12</f>
        <v>106106.063768864</v>
      </c>
      <c r="M313" s="19" t="n">
        <f aca="false">(O312+C313)*(1+Předpoklady!$B$12)</f>
        <v>3157930.41903989</v>
      </c>
      <c r="N313" s="13" t="n">
        <f aca="false">INDEX(Předpoklady!$D$18:$D$21,MATCH(M313,Předpoklady!$A$18:$A$21,1))</f>
        <v>0.0042</v>
      </c>
      <c r="O313" s="19" t="n">
        <f aca="false">M313*(1-N313/12)</f>
        <v>3156825.14339323</v>
      </c>
      <c r="P313" s="19" t="n">
        <f aca="false">P312+M313*N313/12</f>
        <v>138076.737622853</v>
      </c>
    </row>
    <row r="314" customFormat="false" ht="15" hidden="false" customHeight="false" outlineLevel="0" collapsed="false">
      <c r="A314" s="18" t="n">
        <v>313</v>
      </c>
      <c r="B314" s="18" t="n">
        <f aca="false">ROUNDUP(A314/12,0)</f>
        <v>27</v>
      </c>
      <c r="C314" s="17" t="n">
        <f aca="false">Předpoklady!$B$4</f>
        <v>4000</v>
      </c>
      <c r="D314" s="19" t="n">
        <f aca="false">(F313+C314)*(1+Předpoklady!$B$12)</f>
        <v>3215179.28245705</v>
      </c>
      <c r="E314" s="13" t="n">
        <f aca="false">INDEX(Předpoklady!$C$18:$C$21,MATCH(D314,Předpoklady!$A$18:$A$21,1))</f>
        <v>0.0036</v>
      </c>
      <c r="F314" s="19" t="n">
        <f aca="false">D314*(1-E314/12)</f>
        <v>3214214.72867232</v>
      </c>
      <c r="G314" s="19" t="n">
        <f aca="false">(G313+C314)*(1+Předpoklady!$B$12)*(1-Předpoklady!$B$9/12)</f>
        <v>3275630.68210739</v>
      </c>
      <c r="H314" s="19" t="n">
        <f aca="false">IF(AND(A314&gt;12,MOD(A314,12)=Předpoklady!$B$8),Předpoklady!$B$14,0)</f>
        <v>0</v>
      </c>
      <c r="I314" s="19" t="n">
        <f aca="false">I313+H314</f>
        <v>180000</v>
      </c>
      <c r="J314" s="19" t="n">
        <f aca="false">J313*(1+Předpoklady!$B$12)*(1-Předpoklady!$B$9/12)+H314</f>
        <v>456583.208550929</v>
      </c>
      <c r="K314" s="19" t="n">
        <f aca="false">K313+D314*E314/12</f>
        <v>120184.464769154</v>
      </c>
      <c r="L314" s="19" t="n">
        <f aca="false">L313+((G313+C314)+J313)*(1+Předpoklady!$B$12)*Předpoklady!$B$9/12</f>
        <v>107039.350563227</v>
      </c>
      <c r="M314" s="19" t="n">
        <f aca="false">(O313+C314)*(1+Předpoklady!$B$12)</f>
        <v>3178696.90829814</v>
      </c>
      <c r="N314" s="13" t="n">
        <f aca="false">INDEX(Předpoklady!$D$18:$D$21,MATCH(M314,Předpoklady!$A$18:$A$21,1))</f>
        <v>0.0042</v>
      </c>
      <c r="O314" s="19" t="n">
        <f aca="false">M314*(1-N314/12)</f>
        <v>3177584.36438024</v>
      </c>
      <c r="P314" s="19" t="n">
        <f aca="false">P313+M314*N314/12</f>
        <v>139189.281540757</v>
      </c>
    </row>
    <row r="315" customFormat="false" ht="15" hidden="false" customHeight="false" outlineLevel="0" collapsed="false">
      <c r="A315" s="18" t="n">
        <v>314</v>
      </c>
      <c r="B315" s="18" t="n">
        <f aca="false">ROUNDUP(A315/12,0)</f>
        <v>27</v>
      </c>
      <c r="C315" s="17" t="n">
        <f aca="false">Předpoklady!$B$4</f>
        <v>4000</v>
      </c>
      <c r="D315" s="19" t="n">
        <f aca="false">(F314+C315)*(1+Předpoklady!$B$12)</f>
        <v>3236410.98263612</v>
      </c>
      <c r="E315" s="13" t="n">
        <f aca="false">INDEX(Předpoklady!$C$18:$C$21,MATCH(D315,Předpoklady!$A$18:$A$21,1))</f>
        <v>0.0036</v>
      </c>
      <c r="F315" s="19" t="n">
        <f aca="false">D315*(1-E315/12)</f>
        <v>3235440.05934133</v>
      </c>
      <c r="G315" s="19" t="n">
        <f aca="false">(G314+C315)*(1+Předpoklady!$B$12)*(1-Předpoklady!$B$9/12)</f>
        <v>3297349.64725332</v>
      </c>
      <c r="H315" s="19" t="n">
        <f aca="false">IF(AND(A315&gt;12,MOD(A315,12)=Předpoklady!$B$8),Předpoklady!$B$14,0)</f>
        <v>0</v>
      </c>
      <c r="I315" s="19" t="n">
        <f aca="false">I314+H315</f>
        <v>180000</v>
      </c>
      <c r="J315" s="19" t="n">
        <f aca="false">J314*(1+Předpoklady!$B$12)*(1-Předpoklady!$B$9/12)+H315</f>
        <v>459050.005194426</v>
      </c>
      <c r="K315" s="19" t="n">
        <f aca="false">K314+D315*E315/12</f>
        <v>121155.388063944</v>
      </c>
      <c r="L315" s="19" t="n">
        <f aca="false">L314+((G314+C315)+J314)*(1+Předpoklady!$B$12)*Předpoklady!$B$9/12</f>
        <v>107978.685310026</v>
      </c>
      <c r="M315" s="19" t="n">
        <f aca="false">(O314+C315)*(1+Předpoklady!$B$12)</f>
        <v>3199573.50493874</v>
      </c>
      <c r="N315" s="13" t="n">
        <f aca="false">INDEX(Předpoklady!$D$18:$D$21,MATCH(M315,Předpoklady!$A$18:$A$21,1))</f>
        <v>0.0042</v>
      </c>
      <c r="O315" s="19" t="n">
        <f aca="false">M315*(1-N315/12)</f>
        <v>3198453.65421201</v>
      </c>
      <c r="P315" s="19" t="n">
        <f aca="false">P314+M315*N315/12</f>
        <v>140309.132267486</v>
      </c>
    </row>
    <row r="316" customFormat="false" ht="15" hidden="false" customHeight="false" outlineLevel="0" collapsed="false">
      <c r="A316" s="18" t="n">
        <v>315</v>
      </c>
      <c r="B316" s="18" t="n">
        <f aca="false">ROUNDUP(A316/12,0)</f>
        <v>27</v>
      </c>
      <c r="C316" s="17" t="n">
        <f aca="false">Předpoklady!$B$4</f>
        <v>4000</v>
      </c>
      <c r="D316" s="19" t="n">
        <f aca="false">(F315+C316)*(1+Předpoklady!$B$12)</f>
        <v>3257756.32441063</v>
      </c>
      <c r="E316" s="13" t="n">
        <f aca="false">INDEX(Předpoklady!$C$18:$C$21,MATCH(D316,Předpoklady!$A$18:$A$21,1))</f>
        <v>0.0036</v>
      </c>
      <c r="F316" s="19" t="n">
        <f aca="false">D316*(1-E316/12)</f>
        <v>3256778.9975133</v>
      </c>
      <c r="G316" s="19" t="n">
        <f aca="false">(G315+C316)*(1+Předpoklady!$B$12)*(1-Předpoklady!$B$9/12)</f>
        <v>3319185.95414401</v>
      </c>
      <c r="H316" s="19" t="n">
        <f aca="false">IF(AND(A316&gt;12,MOD(A316,12)=Předpoklady!$B$8),Předpoklady!$B$14,0)</f>
        <v>0</v>
      </c>
      <c r="I316" s="19" t="n">
        <f aca="false">I315+H316</f>
        <v>180000</v>
      </c>
      <c r="J316" s="19" t="n">
        <f aca="false">J315*(1+Předpoklady!$B$12)*(1-Předpoklady!$B$9/12)+H316</f>
        <v>461530.129278718</v>
      </c>
      <c r="K316" s="19" t="n">
        <f aca="false">K315+D316*E316/12</f>
        <v>122132.714961268</v>
      </c>
      <c r="L316" s="19" t="n">
        <f aca="false">L315+((G315+C316)+J315)*(1+Předpoklady!$B$12)*Předpoklady!$B$9/12</f>
        <v>108924.100684725</v>
      </c>
      <c r="M316" s="19" t="n">
        <f aca="false">(O315+C316)*(1+Předpoklady!$B$12)</f>
        <v>3220560.79276935</v>
      </c>
      <c r="N316" s="13" t="n">
        <f aca="false">INDEX(Předpoklady!$D$18:$D$21,MATCH(M316,Předpoklady!$A$18:$A$21,1))</f>
        <v>0.0042</v>
      </c>
      <c r="O316" s="19" t="n">
        <f aca="false">M316*(1-N316/12)</f>
        <v>3219433.59649188</v>
      </c>
      <c r="P316" s="19" t="n">
        <f aca="false">P315+M316*N316/12</f>
        <v>141436.328544955</v>
      </c>
    </row>
    <row r="317" customFormat="false" ht="15" hidden="false" customHeight="false" outlineLevel="0" collapsed="false">
      <c r="A317" s="18" t="n">
        <v>316</v>
      </c>
      <c r="B317" s="18" t="n">
        <f aca="false">ROUNDUP(A317/12,0)</f>
        <v>27</v>
      </c>
      <c r="C317" s="17" t="n">
        <f aca="false">Předpoklady!$B$4</f>
        <v>4000</v>
      </c>
      <c r="D317" s="19" t="n">
        <f aca="false">(F316+C317)*(1+Předpoklady!$B$12)</f>
        <v>3279215.91604144</v>
      </c>
      <c r="E317" s="13" t="n">
        <f aca="false">INDEX(Předpoklady!$C$18:$C$21,MATCH(D317,Předpoklady!$A$18:$A$21,1))</f>
        <v>0.0036</v>
      </c>
      <c r="F317" s="19" t="n">
        <f aca="false">D317*(1-E317/12)</f>
        <v>3278232.15126663</v>
      </c>
      <c r="G317" s="19" t="n">
        <f aca="false">(G316+C317)*(1+Předpoklady!$B$12)*(1-Předpoklady!$B$9/12)</f>
        <v>3341140.23674546</v>
      </c>
      <c r="H317" s="19" t="n">
        <f aca="false">IF(AND(A317&gt;12,MOD(A317,12)=Předpoklady!$B$8),Předpoklady!$B$14,0)</f>
        <v>7200</v>
      </c>
      <c r="I317" s="19" t="n">
        <f aca="false">I316+H317</f>
        <v>187200</v>
      </c>
      <c r="J317" s="19" t="n">
        <f aca="false">J316*(1+Předpoklady!$B$12)*(1-Předpoklady!$B$9/12)+H317</f>
        <v>471223.652808395</v>
      </c>
      <c r="K317" s="19" t="n">
        <f aca="false">K316+D317*E317/12</f>
        <v>123116.47973608</v>
      </c>
      <c r="L317" s="19" t="n">
        <f aca="false">L316+((G316+C317)+J316)*(1+Předpoklady!$B$12)*Předpoklady!$B$9/12</f>
        <v>109875.629539327</v>
      </c>
      <c r="M317" s="19" t="n">
        <f aca="false">(O316+C317)*(1+Předpoklady!$B$12)</f>
        <v>3241659.35869309</v>
      </c>
      <c r="N317" s="13" t="n">
        <f aca="false">INDEX(Předpoklady!$D$18:$D$21,MATCH(M317,Předpoklady!$A$18:$A$21,1))</f>
        <v>0.0042</v>
      </c>
      <c r="O317" s="19" t="n">
        <f aca="false">M317*(1-N317/12)</f>
        <v>3240524.77791755</v>
      </c>
      <c r="P317" s="19" t="n">
        <f aca="false">P316+M317*N317/12</f>
        <v>142570.909320498</v>
      </c>
    </row>
    <row r="318" customFormat="false" ht="15" hidden="false" customHeight="false" outlineLevel="0" collapsed="false">
      <c r="A318" s="18" t="n">
        <v>317</v>
      </c>
      <c r="B318" s="18" t="n">
        <f aca="false">ROUNDUP(A318/12,0)</f>
        <v>27</v>
      </c>
      <c r="C318" s="17" t="n">
        <f aca="false">Předpoklady!$B$4</f>
        <v>4000</v>
      </c>
      <c r="D318" s="19" t="n">
        <f aca="false">(F317+C318)*(1+Předpoklady!$B$12)</f>
        <v>3300790.36904511</v>
      </c>
      <c r="E318" s="13" t="n">
        <f aca="false">INDEX(Předpoklady!$C$18:$C$21,MATCH(D318,Předpoklady!$A$18:$A$21,1))</f>
        <v>0.0036</v>
      </c>
      <c r="F318" s="19" t="n">
        <f aca="false">D318*(1-E318/12)</f>
        <v>3299800.13193439</v>
      </c>
      <c r="G318" s="19" t="n">
        <f aca="false">(G317+C318)*(1+Předpoklady!$B$12)*(1-Předpoklady!$B$9/12)</f>
        <v>3363213.13244878</v>
      </c>
      <c r="H318" s="19" t="n">
        <f aca="false">IF(AND(A318&gt;12,MOD(A318,12)=Předpoklady!$B$8),Předpoklady!$B$14,0)</f>
        <v>0</v>
      </c>
      <c r="I318" s="19" t="n">
        <f aca="false">I317+H318</f>
        <v>187200</v>
      </c>
      <c r="J318" s="19" t="n">
        <f aca="false">J317*(1+Předpoklady!$B$12)*(1-Předpoklady!$B$9/12)+H318</f>
        <v>473769.547846395</v>
      </c>
      <c r="K318" s="19" t="n">
        <f aca="false">K317+D318*E318/12</f>
        <v>124106.716846794</v>
      </c>
      <c r="L318" s="19" t="n">
        <f aca="false">L317+((G317+C318)+J317)*(1+Předpoklady!$B$12)*Předpoklady!$B$9/12</f>
        <v>110835.115080786</v>
      </c>
      <c r="M318" s="19" t="n">
        <f aca="false">(O317+C318)*(1+Předpoklady!$B$12)</f>
        <v>3262869.79272494</v>
      </c>
      <c r="N318" s="13" t="n">
        <f aca="false">INDEX(Předpoklady!$D$18:$D$21,MATCH(M318,Předpoklady!$A$18:$A$21,1))</f>
        <v>0.0042</v>
      </c>
      <c r="O318" s="19" t="n">
        <f aca="false">M318*(1-N318/12)</f>
        <v>3261727.78829748</v>
      </c>
      <c r="P318" s="19" t="n">
        <f aca="false">P317+M318*N318/12</f>
        <v>143712.913747951</v>
      </c>
    </row>
    <row r="319" customFormat="false" ht="15" hidden="false" customHeight="false" outlineLevel="0" collapsed="false">
      <c r="A319" s="18" t="n">
        <v>318</v>
      </c>
      <c r="B319" s="18" t="n">
        <f aca="false">ROUNDUP(A319/12,0)</f>
        <v>27</v>
      </c>
      <c r="C319" s="17" t="n">
        <f aca="false">Předpoklady!$B$4</f>
        <v>4000</v>
      </c>
      <c r="D319" s="19" t="n">
        <f aca="false">(F318+C319)*(1+Předpoklady!$B$12)</f>
        <v>3322480.29821128</v>
      </c>
      <c r="E319" s="13" t="n">
        <f aca="false">INDEX(Předpoklady!$C$18:$C$21,MATCH(D319,Předpoklady!$A$18:$A$21,1))</f>
        <v>0.0036</v>
      </c>
      <c r="F319" s="19" t="n">
        <f aca="false">D319*(1-E319/12)</f>
        <v>3321483.55412182</v>
      </c>
      <c r="G319" s="19" t="n">
        <f aca="false">(G318+C319)*(1+Předpoklady!$B$12)*(1-Předpoklady!$B$9/12)</f>
        <v>3385405.28208876</v>
      </c>
      <c r="H319" s="19" t="n">
        <f aca="false">IF(AND(A319&gt;12,MOD(A319,12)=Předpoklady!$B$8),Předpoklady!$B$14,0)</f>
        <v>0</v>
      </c>
      <c r="I319" s="19" t="n">
        <f aca="false">I318+H319</f>
        <v>187200</v>
      </c>
      <c r="J319" s="19" t="n">
        <f aca="false">J318*(1+Předpoklady!$B$12)*(1-Předpoklady!$B$9/12)+H319</f>
        <v>476329.197672607</v>
      </c>
      <c r="K319" s="19" t="n">
        <f aca="false">K318+D319*E319/12</f>
        <v>125103.460936257</v>
      </c>
      <c r="L319" s="19" t="n">
        <f aca="false">L318+((G318+C319)+J318)*(1+Předpoklady!$B$12)*Předpoklady!$B$9/12</f>
        <v>111800.790119486</v>
      </c>
      <c r="M319" s="19" t="n">
        <f aca="false">(O318+C319)*(1+Předpoklady!$B$12)</f>
        <v>3284192.6880082</v>
      </c>
      <c r="N319" s="13" t="n">
        <f aca="false">INDEX(Předpoklady!$D$18:$D$21,MATCH(M319,Předpoklady!$A$18:$A$21,1))</f>
        <v>0.0042</v>
      </c>
      <c r="O319" s="19" t="n">
        <f aca="false">M319*(1-N319/12)</f>
        <v>3283043.2205674</v>
      </c>
      <c r="P319" s="19" t="n">
        <f aca="false">P318+M319*N319/12</f>
        <v>144862.381188754</v>
      </c>
    </row>
    <row r="320" customFormat="false" ht="15" hidden="false" customHeight="false" outlineLevel="0" collapsed="false">
      <c r="A320" s="18" t="n">
        <v>319</v>
      </c>
      <c r="B320" s="18" t="n">
        <f aca="false">ROUNDUP(A320/12,0)</f>
        <v>27</v>
      </c>
      <c r="C320" s="17" t="n">
        <f aca="false">Předpoklady!$B$4</f>
        <v>4000</v>
      </c>
      <c r="D320" s="19" t="n">
        <f aca="false">(F319+C320)*(1+Předpoklady!$B$12)</f>
        <v>3344286.32162025</v>
      </c>
      <c r="E320" s="13" t="n">
        <f aca="false">INDEX(Předpoklady!$C$18:$C$21,MATCH(D320,Předpoklady!$A$18:$A$21,1))</f>
        <v>0.0036</v>
      </c>
      <c r="F320" s="19" t="n">
        <f aca="false">D320*(1-E320/12)</f>
        <v>3343283.03572376</v>
      </c>
      <c r="G320" s="19" t="n">
        <f aca="false">(G319+C320)*(1+Předpoklady!$B$12)*(1-Předpoklady!$B$9/12)</f>
        <v>3407717.32996245</v>
      </c>
      <c r="H320" s="19" t="n">
        <f aca="false">IF(AND(A320&gt;12,MOD(A320,12)=Předpoklady!$B$8),Předpoklady!$B$14,0)</f>
        <v>0</v>
      </c>
      <c r="I320" s="19" t="n">
        <f aca="false">I319+H320</f>
        <v>187200</v>
      </c>
      <c r="J320" s="19" t="n">
        <f aca="false">J319*(1+Předpoklady!$B$12)*(1-Předpoklady!$B$9/12)+H320</f>
        <v>478902.676600462</v>
      </c>
      <c r="K320" s="19" t="n">
        <f aca="false">K319+D320*E320/12</f>
        <v>126106.746832743</v>
      </c>
      <c r="L320" s="19" t="n">
        <f aca="false">L319+((G319+C320)+J319)*(1+Předpoklady!$B$12)*Předpoklady!$B$9/12</f>
        <v>112772.688095621</v>
      </c>
      <c r="M320" s="19" t="n">
        <f aca="false">(O319+C320)*(1+Předpoklady!$B$12)</f>
        <v>3305628.64083118</v>
      </c>
      <c r="N320" s="13" t="n">
        <f aca="false">INDEX(Předpoklady!$D$18:$D$21,MATCH(M320,Předpoklady!$A$18:$A$21,1))</f>
        <v>0.0042</v>
      </c>
      <c r="O320" s="19" t="n">
        <f aca="false">M320*(1-N320/12)</f>
        <v>3304471.67080688</v>
      </c>
      <c r="P320" s="19" t="n">
        <f aca="false">P319+M320*N320/12</f>
        <v>146019.351213045</v>
      </c>
    </row>
    <row r="321" customFormat="false" ht="15" hidden="false" customHeight="false" outlineLevel="0" collapsed="false">
      <c r="A321" s="18" t="n">
        <v>320</v>
      </c>
      <c r="B321" s="18" t="n">
        <f aca="false">ROUNDUP(A321/12,0)</f>
        <v>27</v>
      </c>
      <c r="C321" s="17" t="n">
        <f aca="false">Předpoklady!$B$4</f>
        <v>4000</v>
      </c>
      <c r="D321" s="19" t="n">
        <f aca="false">(F320+C321)*(1+Předpoklady!$B$12)</f>
        <v>3366209.06066054</v>
      </c>
      <c r="E321" s="13" t="n">
        <f aca="false">INDEX(Předpoklady!$C$18:$C$21,MATCH(D321,Předpoklady!$A$18:$A$21,1))</f>
        <v>0.0036</v>
      </c>
      <c r="F321" s="19" t="n">
        <f aca="false">D321*(1-E321/12)</f>
        <v>3365199.19794234</v>
      </c>
      <c r="G321" s="19" t="n">
        <f aca="false">(G320+C321)*(1+Předpoklady!$B$12)*(1-Předpoklady!$B$9/12)</f>
        <v>3430149.92384784</v>
      </c>
      <c r="H321" s="19" t="n">
        <f aca="false">IF(AND(A321&gt;12,MOD(A321,12)=Předpoklady!$B$8),Předpoklady!$B$14,0)</f>
        <v>0</v>
      </c>
      <c r="I321" s="19" t="n">
        <f aca="false">I320+H321</f>
        <v>187200</v>
      </c>
      <c r="J321" s="19" t="n">
        <f aca="false">J320*(1+Předpoklady!$B$12)*(1-Předpoklady!$B$9/12)+H321</f>
        <v>481490.059344888</v>
      </c>
      <c r="K321" s="19" t="n">
        <f aca="false">K320+D321*E321/12</f>
        <v>127116.609550941</v>
      </c>
      <c r="L321" s="19" t="n">
        <f aca="false">L320+((G320+C321)+J320)*(1+Předpoklady!$B$12)*Předpoklady!$B$9/12</f>
        <v>113750.842630053</v>
      </c>
      <c r="M321" s="19" t="n">
        <f aca="false">(O320+C321)*(1+Předpoklady!$B$12)</f>
        <v>3327178.25064374</v>
      </c>
      <c r="N321" s="13" t="n">
        <f aca="false">INDEX(Předpoklady!$D$18:$D$21,MATCH(M321,Předpoklady!$A$18:$A$21,1))</f>
        <v>0.0042</v>
      </c>
      <c r="O321" s="19" t="n">
        <f aca="false">M321*(1-N321/12)</f>
        <v>3326013.73825601</v>
      </c>
      <c r="P321" s="19" t="n">
        <f aca="false">P320+M321*N321/12</f>
        <v>147183.86360077</v>
      </c>
    </row>
    <row r="322" customFormat="false" ht="15" hidden="false" customHeight="false" outlineLevel="0" collapsed="false">
      <c r="A322" s="18" t="n">
        <v>321</v>
      </c>
      <c r="B322" s="18" t="n">
        <f aca="false">ROUNDUP(A322/12,0)</f>
        <v>27</v>
      </c>
      <c r="C322" s="17" t="n">
        <f aca="false">Předpoklady!$B$4</f>
        <v>4000</v>
      </c>
      <c r="D322" s="19" t="n">
        <f aca="false">(F321+C322)*(1+Předpoklady!$B$12)</f>
        <v>3388249.14004663</v>
      </c>
      <c r="E322" s="13" t="n">
        <f aca="false">INDEX(Předpoklady!$C$18:$C$21,MATCH(D322,Předpoklady!$A$18:$A$21,1))</f>
        <v>0.0036</v>
      </c>
      <c r="F322" s="19" t="n">
        <f aca="false">D322*(1-E322/12)</f>
        <v>3387232.66530462</v>
      </c>
      <c r="G322" s="19" t="n">
        <f aca="false">(G321+C322)*(1+Předpoklady!$B$12)*(1-Předpoklady!$B$9/12)</f>
        <v>3452703.71502273</v>
      </c>
      <c r="H322" s="19" t="n">
        <f aca="false">IF(AND(A322&gt;12,MOD(A322,12)=Předpoklady!$B$8),Předpoklady!$B$14,0)</f>
        <v>0</v>
      </c>
      <c r="I322" s="19" t="n">
        <f aca="false">I321+H322</f>
        <v>187200</v>
      </c>
      <c r="J322" s="19" t="n">
        <f aca="false">J321*(1+Předpoklady!$B$12)*(1-Předpoklady!$B$9/12)+H322</f>
        <v>484091.421024479</v>
      </c>
      <c r="K322" s="19" t="n">
        <f aca="false">K321+D322*E322/12</f>
        <v>128133.084292955</v>
      </c>
      <c r="L322" s="19" t="n">
        <f aca="false">L321+((G321+C322)+J321)*(1+Předpoklady!$B$12)*Předpoklady!$B$9/12</f>
        <v>114735.287525288</v>
      </c>
      <c r="M322" s="19" t="n">
        <f aca="false">(O321+C322)*(1+Předpoklady!$B$12)</f>
        <v>3348842.12007417</v>
      </c>
      <c r="N322" s="13" t="n">
        <f aca="false">INDEX(Předpoklady!$D$18:$D$21,MATCH(M322,Předpoklady!$A$18:$A$21,1))</f>
        <v>0.0042</v>
      </c>
      <c r="O322" s="19" t="n">
        <f aca="false">M322*(1-N322/12)</f>
        <v>3347670.02533214</v>
      </c>
      <c r="P322" s="19" t="n">
        <f aca="false">P321+M322*N322/12</f>
        <v>148355.958342796</v>
      </c>
    </row>
    <row r="323" customFormat="false" ht="15" hidden="false" customHeight="false" outlineLevel="0" collapsed="false">
      <c r="A323" s="18" t="n">
        <v>322</v>
      </c>
      <c r="B323" s="18" t="n">
        <f aca="false">ROUNDUP(A323/12,0)</f>
        <v>27</v>
      </c>
      <c r="C323" s="17" t="n">
        <f aca="false">Předpoklady!$B$4</f>
        <v>4000</v>
      </c>
      <c r="D323" s="19" t="n">
        <f aca="false">(F322+C323)*(1+Předpoklady!$B$12)</f>
        <v>3410407.18783677</v>
      </c>
      <c r="E323" s="13" t="n">
        <f aca="false">INDEX(Předpoklady!$C$18:$C$21,MATCH(D323,Předpoklady!$A$18:$A$21,1))</f>
        <v>0.0036</v>
      </c>
      <c r="F323" s="19" t="n">
        <f aca="false">D323*(1-E323/12)</f>
        <v>3409384.06568042</v>
      </c>
      <c r="G323" s="19" t="n">
        <f aca="false">(G322+C323)*(1+Předpoklady!$B$12)*(1-Předpoklady!$B$9/12)</f>
        <v>3475379.35828355</v>
      </c>
      <c r="H323" s="19" t="n">
        <f aca="false">IF(AND(A323&gt;12,MOD(A323,12)=Předpoklady!$B$8),Předpoklady!$B$14,0)</f>
        <v>0</v>
      </c>
      <c r="I323" s="19" t="n">
        <f aca="false">I322+H323</f>
        <v>187200</v>
      </c>
      <c r="J323" s="19" t="n">
        <f aca="false">J322*(1+Předpoklady!$B$12)*(1-Předpoklady!$B$9/12)+H323</f>
        <v>486706.837163672</v>
      </c>
      <c r="K323" s="19" t="n">
        <f aca="false">K322+D323*E323/12</f>
        <v>129156.206449306</v>
      </c>
      <c r="L323" s="19" t="n">
        <f aca="false">L322+((G322+C323)+J322)*(1+Předpoklady!$B$12)*Předpoklady!$B$9/12</f>
        <v>115726.05676646</v>
      </c>
      <c r="M323" s="19" t="n">
        <f aca="false">(O322+C323)*(1+Předpoklady!$B$12)</f>
        <v>3370620.85494598</v>
      </c>
      <c r="N323" s="13" t="n">
        <f aca="false">INDEX(Předpoklady!$D$18:$D$21,MATCH(M323,Předpoklady!$A$18:$A$21,1))</f>
        <v>0.0042</v>
      </c>
      <c r="O323" s="19" t="n">
        <f aca="false">M323*(1-N323/12)</f>
        <v>3369441.13764675</v>
      </c>
      <c r="P323" s="19" t="n">
        <f aca="false">P322+M323*N323/12</f>
        <v>149535.675642028</v>
      </c>
    </row>
    <row r="324" customFormat="false" ht="15" hidden="false" customHeight="false" outlineLevel="0" collapsed="false">
      <c r="A324" s="18" t="n">
        <v>323</v>
      </c>
      <c r="B324" s="18" t="n">
        <f aca="false">ROUNDUP(A324/12,0)</f>
        <v>27</v>
      </c>
      <c r="C324" s="17" t="n">
        <f aca="false">Předpoklady!$B$4</f>
        <v>4000</v>
      </c>
      <c r="D324" s="19" t="n">
        <f aca="false">(F323+C324)*(1+Předpoklady!$B$12)</f>
        <v>3432683.83545083</v>
      </c>
      <c r="E324" s="13" t="n">
        <f aca="false">INDEX(Předpoklady!$C$18:$C$21,MATCH(D324,Předpoklady!$A$18:$A$21,1))</f>
        <v>0.0036</v>
      </c>
      <c r="F324" s="19" t="n">
        <f aca="false">D324*(1-E324/12)</f>
        <v>3431654.03030019</v>
      </c>
      <c r="G324" s="19" t="n">
        <f aca="false">(G323+C324)*(1+Předpoklady!$B$12)*(1-Předpoklady!$B$9/12)</f>
        <v>3498177.51196447</v>
      </c>
      <c r="H324" s="19" t="n">
        <f aca="false">IF(AND(A324&gt;12,MOD(A324,12)=Předpoklady!$B$8),Předpoklady!$B$14,0)</f>
        <v>0</v>
      </c>
      <c r="I324" s="19" t="n">
        <f aca="false">I323+H324</f>
        <v>187200</v>
      </c>
      <c r="J324" s="19" t="n">
        <f aca="false">J323*(1+Předpoklady!$B$12)*(1-Předpoklady!$B$9/12)+H324</f>
        <v>489336.383694944</v>
      </c>
      <c r="K324" s="19" t="n">
        <f aca="false">K323+D324*E324/12</f>
        <v>130186.011599941</v>
      </c>
      <c r="L324" s="19" t="n">
        <f aca="false">L323+((G323+C324)+J323)*(1+Předpoklady!$B$12)*Předpoklady!$B$9/12</f>
        <v>116723.184522314</v>
      </c>
      <c r="M324" s="19" t="n">
        <f aca="false">(O323+C324)*(1+Předpoklady!$B$12)</f>
        <v>3392515.06429486</v>
      </c>
      <c r="N324" s="13" t="n">
        <f aca="false">INDEX(Předpoklady!$D$18:$D$21,MATCH(M324,Předpoklady!$A$18:$A$21,1))</f>
        <v>0.0042</v>
      </c>
      <c r="O324" s="19" t="n">
        <f aca="false">M324*(1-N324/12)</f>
        <v>3391327.68402235</v>
      </c>
      <c r="P324" s="19" t="n">
        <f aca="false">P323+M324*N324/12</f>
        <v>150723.055914531</v>
      </c>
    </row>
    <row r="325" customFormat="false" ht="15" hidden="false" customHeight="false" outlineLevel="0" collapsed="false">
      <c r="A325" s="18" t="n">
        <v>324</v>
      </c>
      <c r="B325" s="18" t="n">
        <f aca="false">ROUNDUP(A325/12,0)</f>
        <v>27</v>
      </c>
      <c r="C325" s="17" t="n">
        <f aca="false">Předpoklady!$B$4</f>
        <v>4000</v>
      </c>
      <c r="D325" s="19" t="n">
        <f aca="false">(F324+C325)*(1+Předpoklady!$B$12)</f>
        <v>3455079.71768834</v>
      </c>
      <c r="E325" s="13" t="n">
        <f aca="false">INDEX(Předpoklady!$C$18:$C$21,MATCH(D325,Předpoklady!$A$18:$A$21,1))</f>
        <v>0.0036</v>
      </c>
      <c r="F325" s="19" t="n">
        <f aca="false">D325*(1-E325/12)</f>
        <v>3454043.19377303</v>
      </c>
      <c r="G325" s="19" t="n">
        <f aca="false">(G324+C325)*(1+Předpoklady!$B$12)*(1-Předpoklady!$B$9/12)</f>
        <v>3521098.83795642</v>
      </c>
      <c r="H325" s="19" t="n">
        <f aca="false">IF(AND(A325&gt;12,MOD(A325,12)=Předpoklady!$B$8),Předpoklady!$B$14,0)</f>
        <v>0</v>
      </c>
      <c r="I325" s="19" t="n">
        <f aca="false">I324+H325</f>
        <v>187200</v>
      </c>
      <c r="J325" s="19" t="n">
        <f aca="false">J324*(1+Předpoklady!$B$12)*(1-Předpoklady!$B$9/12)+H325</f>
        <v>491980.136961014</v>
      </c>
      <c r="K325" s="19" t="n">
        <f aca="false">K324+D325*E325/12</f>
        <v>131222.535515248</v>
      </c>
      <c r="L325" s="19" t="n">
        <f aca="false">L324+((G324+C325)+J324)*(1+Předpoklady!$B$12)*Předpoklady!$B$9/12</f>
        <v>117726.7051462</v>
      </c>
      <c r="M325" s="19" t="n">
        <f aca="false">(O324+C325)*(1+Předpoklady!$B$12)</f>
        <v>3414525.3603857</v>
      </c>
      <c r="N325" s="13" t="n">
        <f aca="false">INDEX(Předpoklady!$D$18:$D$21,MATCH(M325,Předpoklady!$A$18:$A$21,1))</f>
        <v>0.0042</v>
      </c>
      <c r="O325" s="19" t="n">
        <f aca="false">M325*(1-N325/12)</f>
        <v>3413330.27650956</v>
      </c>
      <c r="P325" s="19" t="n">
        <f aca="false">P324+M325*N325/12</f>
        <v>151918.139790666</v>
      </c>
    </row>
    <row r="326" customFormat="false" ht="15" hidden="false" customHeight="false" outlineLevel="0" collapsed="false">
      <c r="A326" s="18" t="n">
        <v>325</v>
      </c>
      <c r="B326" s="18" t="n">
        <f aca="false">ROUNDUP(A326/12,0)</f>
        <v>28</v>
      </c>
      <c r="C326" s="17" t="n">
        <f aca="false">Předpoklady!$B$4</f>
        <v>4000</v>
      </c>
      <c r="D326" s="19" t="n">
        <f aca="false">(F325+C326)*(1+Předpoklady!$B$12)</f>
        <v>3477595.47274655</v>
      </c>
      <c r="E326" s="13" t="n">
        <f aca="false">INDEX(Předpoklady!$C$18:$C$21,MATCH(D326,Předpoklady!$A$18:$A$21,1))</f>
        <v>0.0036</v>
      </c>
      <c r="F326" s="19" t="n">
        <f aca="false">D326*(1-E326/12)</f>
        <v>3476552.19410473</v>
      </c>
      <c r="G326" s="19" t="n">
        <f aca="false">(G325+C326)*(1+Předpoklady!$B$12)*(1-Předpoklady!$B$9/12)</f>
        <v>3544144.00172637</v>
      </c>
      <c r="H326" s="19" t="n">
        <f aca="false">IF(AND(A326&gt;12,MOD(A326,12)=Předpoklady!$B$8),Předpoklady!$B$14,0)</f>
        <v>0</v>
      </c>
      <c r="I326" s="19" t="n">
        <f aca="false">I325+H326</f>
        <v>187200</v>
      </c>
      <c r="J326" s="19" t="n">
        <f aca="false">J325*(1+Předpoklady!$B$12)*(1-Předpoklady!$B$9/12)+H326</f>
        <v>494638.173717062</v>
      </c>
      <c r="K326" s="19" t="n">
        <f aca="false">K325+D326*E326/12</f>
        <v>132265.814157072</v>
      </c>
      <c r="L326" s="19" t="n">
        <f aca="false">L325+((G325+C326)+J325)*(1+Předpoklady!$B$12)*Předpoklady!$B$9/12</f>
        <v>118736.653177068</v>
      </c>
      <c r="M326" s="19" t="n">
        <f aca="false">(O325+C326)*(1+Předpoklady!$B$12)</f>
        <v>3436652.35872973</v>
      </c>
      <c r="N326" s="13" t="n">
        <f aca="false">INDEX(Předpoklady!$D$18:$D$21,MATCH(M326,Předpoklady!$A$18:$A$21,1))</f>
        <v>0.0042</v>
      </c>
      <c r="O326" s="19" t="n">
        <f aca="false">M326*(1-N326/12)</f>
        <v>3435449.53040418</v>
      </c>
      <c r="P326" s="19" t="n">
        <f aca="false">P325+M326*N326/12</f>
        <v>153120.968116221</v>
      </c>
    </row>
    <row r="327" customFormat="false" ht="15" hidden="false" customHeight="false" outlineLevel="0" collapsed="false">
      <c r="A327" s="18" t="n">
        <v>326</v>
      </c>
      <c r="B327" s="18" t="n">
        <f aca="false">ROUNDUP(A327/12,0)</f>
        <v>28</v>
      </c>
      <c r="C327" s="17" t="n">
        <f aca="false">Předpoklady!$B$4</f>
        <v>4000</v>
      </c>
      <c r="D327" s="19" t="n">
        <f aca="false">(F326+C327)*(1+Předpoklady!$B$12)</f>
        <v>3500231.74223865</v>
      </c>
      <c r="E327" s="13" t="n">
        <f aca="false">INDEX(Předpoklady!$C$18:$C$21,MATCH(D327,Předpoklady!$A$18:$A$21,1))</f>
        <v>0.0036</v>
      </c>
      <c r="F327" s="19" t="n">
        <f aca="false">D327*(1-E327/12)</f>
        <v>3499181.67271598</v>
      </c>
      <c r="G327" s="19" t="n">
        <f aca="false">(G326+C327)*(1+Předpoklady!$B$12)*(1-Předpoklady!$B$9/12)</f>
        <v>3567313.67233664</v>
      </c>
      <c r="H327" s="19" t="n">
        <f aca="false">IF(AND(A327&gt;12,MOD(A327,12)=Předpoklady!$B$8),Předpoklady!$B$14,0)</f>
        <v>0</v>
      </c>
      <c r="I327" s="19" t="n">
        <f aca="false">I326+H327</f>
        <v>187200</v>
      </c>
      <c r="J327" s="19" t="n">
        <f aca="false">J326*(1+Předpoklady!$B$12)*(1-Předpoklady!$B$9/12)+H327</f>
        <v>497310.571132952</v>
      </c>
      <c r="K327" s="19" t="n">
        <f aca="false">K326+D327*E327/12</f>
        <v>133315.883679744</v>
      </c>
      <c r="L327" s="19" t="n">
        <f aca="false">L326+((G326+C327)+J326)*(1+Předpoklady!$B$12)*Předpoklady!$B$9/12</f>
        <v>119753.063340476</v>
      </c>
      <c r="M327" s="19" t="n">
        <f aca="false">(O326+C327)*(1+Předpoklady!$B$12)</f>
        <v>3458896.67810172</v>
      </c>
      <c r="N327" s="13" t="n">
        <f aca="false">INDEX(Předpoklady!$D$18:$D$21,MATCH(M327,Předpoklady!$A$18:$A$21,1))</f>
        <v>0.0042</v>
      </c>
      <c r="O327" s="19" t="n">
        <f aca="false">M327*(1-N327/12)</f>
        <v>3457686.06426439</v>
      </c>
      <c r="P327" s="19" t="n">
        <f aca="false">P326+M327*N327/12</f>
        <v>154331.581953557</v>
      </c>
    </row>
    <row r="328" customFormat="false" ht="15" hidden="false" customHeight="false" outlineLevel="0" collapsed="false">
      <c r="A328" s="18" t="n">
        <v>327</v>
      </c>
      <c r="B328" s="18" t="n">
        <f aca="false">ROUNDUP(A328/12,0)</f>
        <v>28</v>
      </c>
      <c r="C328" s="17" t="n">
        <f aca="false">Předpoklady!$B$4</f>
        <v>4000</v>
      </c>
      <c r="D328" s="19" t="n">
        <f aca="false">(F327+C328)*(1+Předpoklady!$B$12)</f>
        <v>3522989.17121201</v>
      </c>
      <c r="E328" s="13" t="n">
        <f aca="false">INDEX(Předpoklady!$C$18:$C$21,MATCH(D328,Předpoklady!$A$18:$A$21,1))</f>
        <v>0.0036</v>
      </c>
      <c r="F328" s="19" t="n">
        <f aca="false">D328*(1-E328/12)</f>
        <v>3521932.27446064</v>
      </c>
      <c r="G328" s="19" t="n">
        <f aca="false">(G327+C328)*(1+Předpoklady!$B$12)*(1-Předpoklady!$B$9/12)</f>
        <v>3590608.5224643</v>
      </c>
      <c r="H328" s="19" t="n">
        <f aca="false">IF(AND(A328&gt;12,MOD(A328,12)=Předpoklady!$B$8),Předpoklady!$B$14,0)</f>
        <v>0</v>
      </c>
      <c r="I328" s="19" t="n">
        <f aca="false">I327+H328</f>
        <v>187200</v>
      </c>
      <c r="J328" s="19" t="n">
        <f aca="false">J327*(1+Předpoklady!$B$12)*(1-Předpoklady!$B$9/12)+H328</f>
        <v>499997.40679548</v>
      </c>
      <c r="K328" s="19" t="n">
        <f aca="false">K327+D328*E328/12</f>
        <v>134372.780431107</v>
      </c>
      <c r="L328" s="19" t="n">
        <f aca="false">L327+((G327+C328)+J327)*(1+Předpoklady!$B$12)*Předpoklady!$B$9/12</f>
        <v>120775.970549594</v>
      </c>
      <c r="M328" s="19" t="n">
        <f aca="false">(O327+C328)*(1+Předpoklady!$B$12)</f>
        <v>3481258.94055729</v>
      </c>
      <c r="N328" s="13" t="n">
        <f aca="false">INDEX(Předpoklady!$D$18:$D$21,MATCH(M328,Předpoklady!$A$18:$A$21,1))</f>
        <v>0.0042</v>
      </c>
      <c r="O328" s="19" t="n">
        <f aca="false">M328*(1-N328/12)</f>
        <v>3480040.4999281</v>
      </c>
      <c r="P328" s="19" t="n">
        <f aca="false">P327+M328*N328/12</f>
        <v>155550.022582752</v>
      </c>
    </row>
    <row r="329" customFormat="false" ht="15" hidden="false" customHeight="false" outlineLevel="0" collapsed="false">
      <c r="A329" s="18" t="n">
        <v>328</v>
      </c>
      <c r="B329" s="18" t="n">
        <f aca="false">ROUNDUP(A329/12,0)</f>
        <v>28</v>
      </c>
      <c r="C329" s="17" t="n">
        <f aca="false">Předpoklady!$B$4</f>
        <v>4000</v>
      </c>
      <c r="D329" s="19" t="n">
        <f aca="false">(F328+C329)*(1+Předpoklady!$B$12)</f>
        <v>3545868.40816659</v>
      </c>
      <c r="E329" s="13" t="n">
        <f aca="false">INDEX(Předpoklady!$C$18:$C$21,MATCH(D329,Předpoklady!$A$18:$A$21,1))</f>
        <v>0.0036</v>
      </c>
      <c r="F329" s="19" t="n">
        <f aca="false">D329*(1-E329/12)</f>
        <v>3544804.64764414</v>
      </c>
      <c r="G329" s="19" t="n">
        <f aca="false">(G328+C329)*(1+Předpoklady!$B$12)*(1-Předpoklady!$B$9/12)</f>
        <v>3614029.2284207</v>
      </c>
      <c r="H329" s="19" t="n">
        <f aca="false">IF(AND(A329&gt;12,MOD(A329,12)=Předpoklady!$B$8),Předpoklady!$B$14,0)</f>
        <v>7200</v>
      </c>
      <c r="I329" s="19" t="n">
        <f aca="false">I328+H329</f>
        <v>194400</v>
      </c>
      <c r="J329" s="19" t="n">
        <f aca="false">J328*(1+Předpoklady!$B$12)*(1-Předpoklady!$B$9/12)+H329</f>
        <v>509898.758710621</v>
      </c>
      <c r="K329" s="19" t="n">
        <f aca="false">K328+D329*E329/12</f>
        <v>135436.540953557</v>
      </c>
      <c r="L329" s="19" t="n">
        <f aca="false">L328+((G328+C329)+J328)*(1+Předpoklady!$B$12)*Předpoklady!$B$9/12</f>
        <v>121805.409906216</v>
      </c>
      <c r="M329" s="19" t="n">
        <f aca="false">(O328+C329)*(1+Předpoklady!$B$12)</f>
        <v>3503739.7714503</v>
      </c>
      <c r="N329" s="13" t="n">
        <f aca="false">INDEX(Předpoklady!$D$18:$D$21,MATCH(M329,Předpoklady!$A$18:$A$21,1))</f>
        <v>0.0042</v>
      </c>
      <c r="O329" s="19" t="n">
        <f aca="false">M329*(1-N329/12)</f>
        <v>3502513.46253029</v>
      </c>
      <c r="P329" s="19" t="n">
        <f aca="false">P328+M329*N329/12</f>
        <v>156776.331502759</v>
      </c>
    </row>
    <row r="330" customFormat="false" ht="15" hidden="false" customHeight="false" outlineLevel="0" collapsed="false">
      <c r="A330" s="18" t="n">
        <v>329</v>
      </c>
      <c r="B330" s="18" t="n">
        <f aca="false">ROUNDUP(A330/12,0)</f>
        <v>28</v>
      </c>
      <c r="C330" s="17" t="n">
        <f aca="false">Předpoklady!$B$4</f>
        <v>4000</v>
      </c>
      <c r="D330" s="19" t="n">
        <f aca="false">(F329+C330)*(1+Předpoklady!$B$12)</f>
        <v>3568870.10507342</v>
      </c>
      <c r="E330" s="13" t="n">
        <f aca="false">INDEX(Předpoklady!$C$18:$C$21,MATCH(D330,Předpoklady!$A$18:$A$21,1))</f>
        <v>0.0036</v>
      </c>
      <c r="F330" s="19" t="n">
        <f aca="false">D330*(1-E330/12)</f>
        <v>3567799.44404189</v>
      </c>
      <c r="G330" s="19" t="n">
        <f aca="false">(G329+C330)*(1+Předpoklady!$B$12)*(1-Předpoklady!$B$9/12)</f>
        <v>3637576.47017115</v>
      </c>
      <c r="H330" s="19" t="n">
        <f aca="false">IF(AND(A330&gt;12,MOD(A330,12)=Předpoklady!$B$8),Předpoklady!$B$14,0)</f>
        <v>0</v>
      </c>
      <c r="I330" s="19" t="n">
        <f aca="false">I329+H330</f>
        <v>194400</v>
      </c>
      <c r="J330" s="19" t="n">
        <f aca="false">J329*(1+Předpoklady!$B$12)*(1-Předpoklady!$B$9/12)+H330</f>
        <v>512653.604975122</v>
      </c>
      <c r="K330" s="19" t="n">
        <f aca="false">K329+D330*E330/12</f>
        <v>136507.201985079</v>
      </c>
      <c r="L330" s="19" t="n">
        <f aca="false">L329+((G329+C330)+J329)*(1+Předpoklady!$B$12)*Předpoklady!$B$9/12</f>
        <v>122843.226879245</v>
      </c>
      <c r="M330" s="19" t="n">
        <f aca="false">(O329+C330)*(1+Předpoklady!$B$12)</f>
        <v>3526339.79945033</v>
      </c>
      <c r="N330" s="13" t="n">
        <f aca="false">INDEX(Předpoklady!$D$18:$D$21,MATCH(M330,Předpoklady!$A$18:$A$21,1))</f>
        <v>0.0042</v>
      </c>
      <c r="O330" s="19" t="n">
        <f aca="false">M330*(1-N330/12)</f>
        <v>3525105.58052053</v>
      </c>
      <c r="P330" s="19" t="n">
        <f aca="false">P329+M330*N330/12</f>
        <v>158010.550432567</v>
      </c>
    </row>
    <row r="331" customFormat="false" ht="15" hidden="false" customHeight="false" outlineLevel="0" collapsed="false">
      <c r="A331" s="18" t="n">
        <v>330</v>
      </c>
      <c r="B331" s="18" t="n">
        <f aca="false">ROUNDUP(A331/12,0)</f>
        <v>28</v>
      </c>
      <c r="C331" s="17" t="n">
        <f aca="false">Předpoklady!$B$4</f>
        <v>4000</v>
      </c>
      <c r="D331" s="19" t="n">
        <f aca="false">(F330+C331)*(1+Předpoklady!$B$12)</f>
        <v>3591994.91739316</v>
      </c>
      <c r="E331" s="13" t="n">
        <f aca="false">INDEX(Předpoklady!$C$18:$C$21,MATCH(D331,Předpoklady!$A$18:$A$21,1))</f>
        <v>0.0036</v>
      </c>
      <c r="F331" s="19" t="n">
        <f aca="false">D331*(1-E331/12)</f>
        <v>3590917.31891794</v>
      </c>
      <c r="G331" s="19" t="n">
        <f aca="false">(G330+C331)*(1+Předpoklady!$B$12)*(1-Předpoklady!$B$9/12)</f>
        <v>3661250.93135461</v>
      </c>
      <c r="H331" s="19" t="n">
        <f aca="false">IF(AND(A331&gt;12,MOD(A331,12)=Předpoklady!$B$8),Předpoklady!$B$14,0)</f>
        <v>0</v>
      </c>
      <c r="I331" s="19" t="n">
        <f aca="false">I330+H331</f>
        <v>194400</v>
      </c>
      <c r="J331" s="19" t="n">
        <f aca="false">J330*(1+Předpoklady!$B$12)*(1-Předpoklady!$B$9/12)+H331</f>
        <v>515423.334935281</v>
      </c>
      <c r="K331" s="19" t="n">
        <f aca="false">K330+D331*E331/12</f>
        <v>137584.800460297</v>
      </c>
      <c r="L331" s="19" t="n">
        <f aca="false">L330+((G330+C331)+J330)*(1+Předpoklady!$B$12)*Předpoklady!$B$9/12</f>
        <v>123887.656553236</v>
      </c>
      <c r="M331" s="19" t="n">
        <f aca="false">(O330+C331)*(1+Předpoklady!$B$12)</f>
        <v>3549059.65656029</v>
      </c>
      <c r="N331" s="13" t="n">
        <f aca="false">INDEX(Předpoklady!$D$18:$D$21,MATCH(M331,Předpoklady!$A$18:$A$21,1))</f>
        <v>0.0042</v>
      </c>
      <c r="O331" s="19" t="n">
        <f aca="false">M331*(1-N331/12)</f>
        <v>3547817.4856805</v>
      </c>
      <c r="P331" s="19" t="n">
        <f aca="false">P330+M331*N331/12</f>
        <v>159252.721312363</v>
      </c>
    </row>
    <row r="332" customFormat="false" ht="15" hidden="false" customHeight="false" outlineLevel="0" collapsed="false">
      <c r="A332" s="18" t="n">
        <v>331</v>
      </c>
      <c r="B332" s="18" t="n">
        <f aca="false">ROUNDUP(A332/12,0)</f>
        <v>28</v>
      </c>
      <c r="C332" s="17" t="n">
        <f aca="false">Předpoklady!$B$4</f>
        <v>4000</v>
      </c>
      <c r="D332" s="19" t="n">
        <f aca="false">(F331+C332)*(1+Předpoklady!$B$12)</f>
        <v>3615243.50409481</v>
      </c>
      <c r="E332" s="13" t="n">
        <f aca="false">INDEX(Předpoklady!$C$18:$C$21,MATCH(D332,Předpoklady!$A$18:$A$21,1))</f>
        <v>0.0036</v>
      </c>
      <c r="F332" s="19" t="n">
        <f aca="false">D332*(1-E332/12)</f>
        <v>3614158.93104358</v>
      </c>
      <c r="G332" s="19" t="n">
        <f aca="false">(G331+C332)*(1+Předpoklady!$B$12)*(1-Předpoklady!$B$9/12)</f>
        <v>3685053.29930356</v>
      </c>
      <c r="H332" s="19" t="n">
        <f aca="false">IF(AND(A332&gt;12,MOD(A332,12)=Předpoklady!$B$8),Předpoklady!$B$14,0)</f>
        <v>0</v>
      </c>
      <c r="I332" s="19" t="n">
        <f aca="false">I331+H332</f>
        <v>194400</v>
      </c>
      <c r="J332" s="19" t="n">
        <f aca="false">J331*(1+Předpoklady!$B$12)*(1-Předpoklady!$B$9/12)+H332</f>
        <v>518208.029003715</v>
      </c>
      <c r="K332" s="19" t="n">
        <f aca="false">K331+D332*E332/12</f>
        <v>138669.373511526</v>
      </c>
      <c r="L332" s="19" t="n">
        <f aca="false">L331+((G331+C332)+J331)*(1+Předpoklady!$B$12)*Předpoklady!$B$9/12</f>
        <v>124938.734654839</v>
      </c>
      <c r="M332" s="19" t="n">
        <f aca="false">(O331+C332)*(1+Předpoklady!$B$12)</f>
        <v>3571899.97813406</v>
      </c>
      <c r="N332" s="13" t="n">
        <f aca="false">INDEX(Předpoklady!$D$18:$D$21,MATCH(M332,Předpoklady!$A$18:$A$21,1))</f>
        <v>0.0042</v>
      </c>
      <c r="O332" s="19" t="n">
        <f aca="false">M332*(1-N332/12)</f>
        <v>3570649.81314172</v>
      </c>
      <c r="P332" s="19" t="n">
        <f aca="false">P331+M332*N332/12</f>
        <v>160502.88630471</v>
      </c>
    </row>
    <row r="333" customFormat="false" ht="15" hidden="false" customHeight="false" outlineLevel="0" collapsed="false">
      <c r="A333" s="18" t="n">
        <v>332</v>
      </c>
      <c r="B333" s="18" t="n">
        <f aca="false">ROUNDUP(A333/12,0)</f>
        <v>28</v>
      </c>
      <c r="C333" s="17" t="n">
        <f aca="false">Předpoklady!$B$4</f>
        <v>4000</v>
      </c>
      <c r="D333" s="19" t="n">
        <f aca="false">(F332+C333)*(1+Předpoklady!$B$12)</f>
        <v>3638616.52767444</v>
      </c>
      <c r="E333" s="13" t="n">
        <f aca="false">INDEX(Předpoklady!$C$18:$C$21,MATCH(D333,Předpoklady!$A$18:$A$21,1))</f>
        <v>0.0036</v>
      </c>
      <c r="F333" s="19" t="n">
        <f aca="false">D333*(1-E333/12)</f>
        <v>3637524.94271614</v>
      </c>
      <c r="G333" s="19" t="n">
        <f aca="false">(G332+C333)*(1+Předpoklady!$B$12)*(1-Předpoklady!$B$9/12)</f>
        <v>3708984.26506396</v>
      </c>
      <c r="H333" s="19" t="n">
        <f aca="false">IF(AND(A333&gt;12,MOD(A333,12)=Předpoklady!$B$8),Předpoklady!$B$14,0)</f>
        <v>0</v>
      </c>
      <c r="I333" s="19" t="n">
        <f aca="false">I332+H333</f>
        <v>194400</v>
      </c>
      <c r="J333" s="19" t="n">
        <f aca="false">J332*(1+Předpoklady!$B$12)*(1-Předpoklady!$B$9/12)+H333</f>
        <v>521007.768027487</v>
      </c>
      <c r="K333" s="19" t="n">
        <f aca="false">K332+D333*E333/12</f>
        <v>139760.958469828</v>
      </c>
      <c r="L333" s="19" t="n">
        <f aca="false">L332+((G332+C333)+J332)*(1+Předpoklady!$B$12)*Předpoklady!$B$9/12</f>
        <v>125996.497103724</v>
      </c>
      <c r="M333" s="19" t="n">
        <f aca="false">(O332+C333)*(1+Předpoklady!$B$12)</f>
        <v>3594861.40289428</v>
      </c>
      <c r="N333" s="13" t="n">
        <f aca="false">INDEX(Předpoklady!$D$18:$D$21,MATCH(M333,Předpoklady!$A$18:$A$21,1))</f>
        <v>0.0042</v>
      </c>
      <c r="O333" s="19" t="n">
        <f aca="false">M333*(1-N333/12)</f>
        <v>3593603.20140327</v>
      </c>
      <c r="P333" s="19" t="n">
        <f aca="false">P332+M333*N333/12</f>
        <v>161761.087795723</v>
      </c>
    </row>
    <row r="334" customFormat="false" ht="15" hidden="false" customHeight="false" outlineLevel="0" collapsed="false">
      <c r="A334" s="18" t="n">
        <v>333</v>
      </c>
      <c r="B334" s="18" t="n">
        <f aca="false">ROUNDUP(A334/12,0)</f>
        <v>28</v>
      </c>
      <c r="C334" s="17" t="n">
        <f aca="false">Předpoklady!$B$4</f>
        <v>4000</v>
      </c>
      <c r="D334" s="19" t="n">
        <f aca="false">(F333+C334)*(1+Předpoklady!$B$12)</f>
        <v>3662114.65417412</v>
      </c>
      <c r="E334" s="13" t="n">
        <f aca="false">INDEX(Předpoklady!$C$18:$C$21,MATCH(D334,Předpoklady!$A$18:$A$21,1))</f>
        <v>0.0036</v>
      </c>
      <c r="F334" s="19" t="n">
        <f aca="false">D334*(1-E334/12)</f>
        <v>3661016.01977786</v>
      </c>
      <c r="G334" s="19" t="n">
        <f aca="false">(G333+C334)*(1+Předpoklady!$B$12)*(1-Předpoklady!$B$9/12)</f>
        <v>3733044.5234153</v>
      </c>
      <c r="H334" s="19" t="n">
        <f aca="false">IF(AND(A334&gt;12,MOD(A334,12)=Předpoklady!$B$8),Předpoklady!$B$14,0)</f>
        <v>0</v>
      </c>
      <c r="I334" s="19" t="n">
        <f aca="false">I333+H334</f>
        <v>194400</v>
      </c>
      <c r="J334" s="19" t="n">
        <f aca="false">J333*(1+Předpoklady!$B$12)*(1-Předpoklady!$B$9/12)+H334</f>
        <v>523822.633290458</v>
      </c>
      <c r="K334" s="19" t="n">
        <f aca="false">K333+D334*E334/12</f>
        <v>140859.59286608</v>
      </c>
      <c r="L334" s="19" t="n">
        <f aca="false">L333+((G333+C334)+J333)*(1+Předpoklady!$B$12)*Předpoklady!$B$9/12</f>
        <v>127060.980013628</v>
      </c>
      <c r="M334" s="19" t="n">
        <f aca="false">(O333+C334)*(1+Předpoklady!$B$12)</f>
        <v>3617944.5729502</v>
      </c>
      <c r="N334" s="13" t="n">
        <f aca="false">INDEX(Předpoklady!$D$18:$D$21,MATCH(M334,Předpoklady!$A$18:$A$21,1))</f>
        <v>0.0042</v>
      </c>
      <c r="O334" s="19" t="n">
        <f aca="false">M334*(1-N334/12)</f>
        <v>3616678.29234966</v>
      </c>
      <c r="P334" s="19" t="n">
        <f aca="false">P333+M334*N334/12</f>
        <v>163027.368396256</v>
      </c>
    </row>
    <row r="335" customFormat="false" ht="15" hidden="false" customHeight="false" outlineLevel="0" collapsed="false">
      <c r="A335" s="18" t="n">
        <v>334</v>
      </c>
      <c r="B335" s="18" t="n">
        <f aca="false">ROUNDUP(A335/12,0)</f>
        <v>28</v>
      </c>
      <c r="C335" s="17" t="n">
        <f aca="false">Předpoklady!$B$4</f>
        <v>4000</v>
      </c>
      <c r="D335" s="19" t="n">
        <f aca="false">(F334+C335)*(1+Předpoklady!$B$12)</f>
        <v>3685738.55320086</v>
      </c>
      <c r="E335" s="13" t="n">
        <f aca="false">INDEX(Předpoklady!$C$18:$C$21,MATCH(D335,Předpoklady!$A$18:$A$21,1))</f>
        <v>0.0036</v>
      </c>
      <c r="F335" s="19" t="n">
        <f aca="false">D335*(1-E335/12)</f>
        <v>3684632.8316349</v>
      </c>
      <c r="G335" s="19" t="n">
        <f aca="false">(G334+C335)*(1+Předpoklady!$B$12)*(1-Předpoklady!$B$9/12)</f>
        <v>3757234.77289078</v>
      </c>
      <c r="H335" s="19" t="n">
        <f aca="false">IF(AND(A335&gt;12,MOD(A335,12)=Předpoklady!$B$8),Předpoklady!$B$14,0)</f>
        <v>0</v>
      </c>
      <c r="I335" s="19" t="n">
        <f aca="false">I334+H335</f>
        <v>194400</v>
      </c>
      <c r="J335" s="19" t="n">
        <f aca="false">J334*(1+Předpoklady!$B$12)*(1-Předpoklady!$B$9/12)+H335</f>
        <v>526652.706515642</v>
      </c>
      <c r="K335" s="19" t="n">
        <f aca="false">K334+D335*E335/12</f>
        <v>141965.31443204</v>
      </c>
      <c r="L335" s="19" t="n">
        <f aca="false">L334+((G334+C335)+J334)*(1+Předpoklady!$B$12)*Předpoklady!$B$9/12</f>
        <v>128132.219693399</v>
      </c>
      <c r="M335" s="19" t="n">
        <f aca="false">(O334+C335)*(1+Předpoklady!$B$12)</f>
        <v>3641150.13381563</v>
      </c>
      <c r="N335" s="13" t="n">
        <f aca="false">INDEX(Předpoklady!$D$18:$D$21,MATCH(M335,Předpoklady!$A$18:$A$21,1))</f>
        <v>0.0042</v>
      </c>
      <c r="O335" s="19" t="n">
        <f aca="false">M335*(1-N335/12)</f>
        <v>3639875.73126879</v>
      </c>
      <c r="P335" s="19" t="n">
        <f aca="false">P334+M335*N335/12</f>
        <v>164301.770943091</v>
      </c>
    </row>
    <row r="336" customFormat="false" ht="15" hidden="false" customHeight="false" outlineLevel="0" collapsed="false">
      <c r="A336" s="18" t="n">
        <v>335</v>
      </c>
      <c r="B336" s="18" t="n">
        <f aca="false">ROUNDUP(A336/12,0)</f>
        <v>28</v>
      </c>
      <c r="C336" s="17" t="n">
        <f aca="false">Předpoklady!$B$4</f>
        <v>4000</v>
      </c>
      <c r="D336" s="19" t="n">
        <f aca="false">(F335+C336)*(1+Předpoklady!$B$12)</f>
        <v>3709488.89794572</v>
      </c>
      <c r="E336" s="13" t="n">
        <f aca="false">INDEX(Předpoklady!$C$18:$C$21,MATCH(D336,Předpoklady!$A$18:$A$21,1))</f>
        <v>0.0036</v>
      </c>
      <c r="F336" s="19" t="n">
        <f aca="false">D336*(1-E336/12)</f>
        <v>3708376.05127633</v>
      </c>
      <c r="G336" s="19" t="n">
        <f aca="false">(G335+C336)*(1+Předpoklady!$B$12)*(1-Předpoklady!$B$9/12)</f>
        <v>3781555.71579758</v>
      </c>
      <c r="H336" s="19" t="n">
        <f aca="false">IF(AND(A336&gt;12,MOD(A336,12)=Předpoklady!$B$8),Předpoklady!$B$14,0)</f>
        <v>0</v>
      </c>
      <c r="I336" s="19" t="n">
        <f aca="false">I335+H336</f>
        <v>194400</v>
      </c>
      <c r="J336" s="19" t="n">
        <f aca="false">J335*(1+Předpoklady!$B$12)*(1-Předpoklady!$B$9/12)+H336</f>
        <v>529498.06986758</v>
      </c>
      <c r="K336" s="19" t="n">
        <f aca="false">K335+D336*E336/12</f>
        <v>143078.161101424</v>
      </c>
      <c r="L336" s="19" t="n">
        <f aca="false">L335+((G335+C336)+J335)*(1+Předpoklady!$B$12)*Předpoklady!$B$9/12</f>
        <v>129210.252648054</v>
      </c>
      <c r="M336" s="19" t="n">
        <f aca="false">(O335+C336)*(1+Předpoklady!$B$12)</f>
        <v>3664478.73442703</v>
      </c>
      <c r="N336" s="13" t="n">
        <f aca="false">INDEX(Předpoklady!$D$18:$D$21,MATCH(M336,Předpoklady!$A$18:$A$21,1))</f>
        <v>0.0042</v>
      </c>
      <c r="O336" s="19" t="n">
        <f aca="false">M336*(1-N336/12)</f>
        <v>3663196.16686998</v>
      </c>
      <c r="P336" s="19" t="n">
        <f aca="false">P335+M336*N336/12</f>
        <v>165584.338500141</v>
      </c>
    </row>
    <row r="337" customFormat="false" ht="15" hidden="false" customHeight="false" outlineLevel="0" collapsed="false">
      <c r="A337" s="18" t="n">
        <v>336</v>
      </c>
      <c r="B337" s="18" t="n">
        <f aca="false">ROUNDUP(A337/12,0)</f>
        <v>28</v>
      </c>
      <c r="C337" s="17" t="n">
        <f aca="false">Předpoklady!$B$4</f>
        <v>4000</v>
      </c>
      <c r="D337" s="19" t="n">
        <f aca="false">(F336+C337)*(1+Předpoklady!$B$12)</f>
        <v>3733366.36520297</v>
      </c>
      <c r="E337" s="13" t="n">
        <f aca="false">INDEX(Předpoklady!$C$18:$C$21,MATCH(D337,Předpoklady!$A$18:$A$21,1))</f>
        <v>0.0036</v>
      </c>
      <c r="F337" s="19" t="n">
        <f aca="false">D337*(1-E337/12)</f>
        <v>3732246.35529341</v>
      </c>
      <c r="G337" s="19" t="n">
        <f aca="false">(G336+C337)*(1+Předpoklady!$B$12)*(1-Předpoklady!$B$9/12)</f>
        <v>3806008.05823728</v>
      </c>
      <c r="H337" s="19" t="n">
        <f aca="false">IF(AND(A337&gt;12,MOD(A337,12)=Předpoklady!$B$8),Předpoklady!$B$14,0)</f>
        <v>0</v>
      </c>
      <c r="I337" s="19" t="n">
        <f aca="false">I336+H337</f>
        <v>194400</v>
      </c>
      <c r="J337" s="19" t="n">
        <f aca="false">J336*(1+Předpoklady!$B$12)*(1-Předpoklady!$B$9/12)+H337</f>
        <v>532358.805954728</v>
      </c>
      <c r="K337" s="19" t="n">
        <f aca="false">K336+D337*E337/12</f>
        <v>144198.171010985</v>
      </c>
      <c r="L337" s="19" t="n">
        <f aca="false">L336+((G336+C337)+J336)*(1+Předpoklady!$B$12)*Předpoklady!$B$9/12</f>
        <v>130295.115579835</v>
      </c>
      <c r="M337" s="19" t="n">
        <f aca="false">(O336+C337)*(1+Předpoklady!$B$12)</f>
        <v>3687931.0271616</v>
      </c>
      <c r="N337" s="13" t="n">
        <f aca="false">INDEX(Předpoklady!$D$18:$D$21,MATCH(M337,Předpoklady!$A$18:$A$21,1))</f>
        <v>0.0042</v>
      </c>
      <c r="O337" s="19" t="n">
        <f aca="false">M337*(1-N337/12)</f>
        <v>3686640.25130209</v>
      </c>
      <c r="P337" s="19" t="n">
        <f aca="false">P336+M337*N337/12</f>
        <v>166875.114359647</v>
      </c>
    </row>
    <row r="338" customFormat="false" ht="15" hidden="false" customHeight="false" outlineLevel="0" collapsed="false">
      <c r="A338" s="18" t="n">
        <v>337</v>
      </c>
      <c r="B338" s="18" t="n">
        <f aca="false">ROUNDUP(A338/12,0)</f>
        <v>29</v>
      </c>
      <c r="C338" s="17" t="n">
        <f aca="false">Předpoklady!$B$4</f>
        <v>4000</v>
      </c>
      <c r="D338" s="19" t="n">
        <f aca="false">(F337+C338)*(1+Předpoklady!$B$12)</f>
        <v>3757371.6353894</v>
      </c>
      <c r="E338" s="13" t="n">
        <f aca="false">INDEX(Předpoklady!$C$18:$C$21,MATCH(D338,Předpoklady!$A$18:$A$21,1))</f>
        <v>0.0036</v>
      </c>
      <c r="F338" s="19" t="n">
        <f aca="false">D338*(1-E338/12)</f>
        <v>3756244.42389879</v>
      </c>
      <c r="G338" s="19" t="n">
        <f aca="false">(G337+C338)*(1+Předpoklady!$B$12)*(1-Předpoklady!$B$9/12)</f>
        <v>3830592.51012631</v>
      </c>
      <c r="H338" s="19" t="n">
        <f aca="false">IF(AND(A338&gt;12,MOD(A338,12)=Předpoklady!$B$8),Předpoklady!$B$14,0)</f>
        <v>0</v>
      </c>
      <c r="I338" s="19" t="n">
        <f aca="false">I337+H338</f>
        <v>194400</v>
      </c>
      <c r="J338" s="19" t="n">
        <f aca="false">J337*(1+Předpoklady!$B$12)*(1-Předpoklady!$B$9/12)+H338</f>
        <v>535234.997831851</v>
      </c>
      <c r="K338" s="19" t="n">
        <f aca="false">K337+D338*E338/12</f>
        <v>145325.382501602</v>
      </c>
      <c r="L338" s="19" t="n">
        <f aca="false">L337+((G337+C338)+J337)*(1+Předpoklady!$B$12)*Předpoklady!$B$9/12</f>
        <v>131386.845389277</v>
      </c>
      <c r="M338" s="19" t="n">
        <f aca="false">(O337+C338)*(1+Předpoklady!$B$12)</f>
        <v>3711507.66785556</v>
      </c>
      <c r="N338" s="13" t="n">
        <f aca="false">INDEX(Předpoklady!$D$18:$D$21,MATCH(M338,Předpoklady!$A$18:$A$21,1))</f>
        <v>0.0042</v>
      </c>
      <c r="O338" s="19" t="n">
        <f aca="false">M338*(1-N338/12)</f>
        <v>3710208.64017181</v>
      </c>
      <c r="P338" s="19" t="n">
        <f aca="false">P337+M338*N338/12</f>
        <v>168174.142043397</v>
      </c>
    </row>
    <row r="339" customFormat="false" ht="15" hidden="false" customHeight="false" outlineLevel="0" collapsed="false">
      <c r="A339" s="18" t="n">
        <v>338</v>
      </c>
      <c r="B339" s="18" t="n">
        <f aca="false">ROUNDUP(A339/12,0)</f>
        <v>29</v>
      </c>
      <c r="C339" s="17" t="n">
        <f aca="false">Předpoklady!$B$4</f>
        <v>4000</v>
      </c>
      <c r="D339" s="19" t="n">
        <f aca="false">(F338+C339)*(1+Předpoklady!$B$12)</f>
        <v>3781505.39256369</v>
      </c>
      <c r="E339" s="13" t="n">
        <f aca="false">INDEX(Předpoklady!$C$18:$C$21,MATCH(D339,Předpoklady!$A$18:$A$21,1))</f>
        <v>0.0036</v>
      </c>
      <c r="F339" s="19" t="n">
        <f aca="false">D339*(1-E339/12)</f>
        <v>3780370.94094592</v>
      </c>
      <c r="G339" s="19" t="n">
        <f aca="false">(G338+C339)*(1+Předpoklady!$B$12)*(1-Předpoklady!$B$9/12)</f>
        <v>3855309.7852166</v>
      </c>
      <c r="H339" s="19" t="n">
        <f aca="false">IF(AND(A339&gt;12,MOD(A339,12)=Předpoklady!$B$8),Předpoklady!$B$14,0)</f>
        <v>0</v>
      </c>
      <c r="I339" s="19" t="n">
        <f aca="false">I338+H339</f>
        <v>194400</v>
      </c>
      <c r="J339" s="19" t="n">
        <f aca="false">J338*(1+Předpoklady!$B$12)*(1-Předpoklady!$B$9/12)+H339</f>
        <v>538126.729002438</v>
      </c>
      <c r="K339" s="19" t="n">
        <f aca="false">K338+D339*E339/12</f>
        <v>146459.834119371</v>
      </c>
      <c r="L339" s="19" t="n">
        <f aca="false">L338+((G338+C339)+J338)*(1+Předpoklady!$B$12)*Předpoklady!$B$9/12</f>
        <v>132485.479176279</v>
      </c>
      <c r="M339" s="19" t="n">
        <f aca="false">(O338+C339)*(1+Předpoklady!$B$12)</f>
        <v>3735209.3158225</v>
      </c>
      <c r="N339" s="13" t="n">
        <f aca="false">INDEX(Předpoklady!$D$18:$D$21,MATCH(M339,Předpoklady!$A$18:$A$21,1))</f>
        <v>0.0042</v>
      </c>
      <c r="O339" s="19" t="n">
        <f aca="false">M339*(1-N339/12)</f>
        <v>3733901.99256196</v>
      </c>
      <c r="P339" s="19" t="n">
        <f aca="false">P338+M339*N339/12</f>
        <v>169481.465303934</v>
      </c>
    </row>
    <row r="340" customFormat="false" ht="15" hidden="false" customHeight="false" outlineLevel="0" collapsed="false">
      <c r="A340" s="18" t="n">
        <v>339</v>
      </c>
      <c r="B340" s="18" t="n">
        <f aca="false">ROUNDUP(A340/12,0)</f>
        <v>29</v>
      </c>
      <c r="C340" s="17" t="n">
        <f aca="false">Předpoklady!$B$4</f>
        <v>4000</v>
      </c>
      <c r="D340" s="19" t="n">
        <f aca="false">(F339+C340)*(1+Předpoklady!$B$12)</f>
        <v>3805768.3244459</v>
      </c>
      <c r="E340" s="13" t="n">
        <f aca="false">INDEX(Předpoklady!$C$18:$C$21,MATCH(D340,Předpoklady!$A$18:$A$21,1))</f>
        <v>0.0036</v>
      </c>
      <c r="F340" s="19" t="n">
        <f aca="false">D340*(1-E340/12)</f>
        <v>3804626.59394857</v>
      </c>
      <c r="G340" s="19" t="n">
        <f aca="false">(G339+C340)*(1+Předpoklady!$B$12)*(1-Předpoklady!$B$9/12)</f>
        <v>3880160.60111629</v>
      </c>
      <c r="H340" s="19" t="n">
        <f aca="false">IF(AND(A340&gt;12,MOD(A340,12)=Předpoklady!$B$8),Předpoklady!$B$14,0)</f>
        <v>0</v>
      </c>
      <c r="I340" s="19" t="n">
        <f aca="false">I339+H340</f>
        <v>194400</v>
      </c>
      <c r="J340" s="19" t="n">
        <f aca="false">J339*(1+Předpoklady!$B$12)*(1-Předpoklady!$B$9/12)+H340</f>
        <v>541034.083421125</v>
      </c>
      <c r="K340" s="19" t="n">
        <f aca="false">K339+D340*E340/12</f>
        <v>147601.564616705</v>
      </c>
      <c r="L340" s="19" t="n">
        <f aca="false">L339+((G339+C340)+J339)*(1+Předpoklady!$B$12)*Předpoklady!$B$9/12</f>
        <v>133591.054241179</v>
      </c>
      <c r="M340" s="19" t="n">
        <f aca="false">(O339+C340)*(1+Předpoklady!$B$12)</f>
        <v>3759036.63387178</v>
      </c>
      <c r="N340" s="13" t="n">
        <f aca="false">INDEX(Předpoklady!$D$18:$D$21,MATCH(M340,Předpoklady!$A$18:$A$21,1))</f>
        <v>0.0042</v>
      </c>
      <c r="O340" s="19" t="n">
        <f aca="false">M340*(1-N340/12)</f>
        <v>3757720.97104992</v>
      </c>
      <c r="P340" s="19" t="n">
        <f aca="false">P339+M340*N340/12</f>
        <v>170797.12812579</v>
      </c>
    </row>
    <row r="341" customFormat="false" ht="15" hidden="false" customHeight="false" outlineLevel="0" collapsed="false">
      <c r="A341" s="18" t="n">
        <v>340</v>
      </c>
      <c r="B341" s="18" t="n">
        <f aca="false">ROUNDUP(A341/12,0)</f>
        <v>29</v>
      </c>
      <c r="C341" s="17" t="n">
        <f aca="false">Předpoklady!$B$4</f>
        <v>4000</v>
      </c>
      <c r="D341" s="19" t="n">
        <f aca="false">(F340+C341)*(1+Předpoklady!$B$12)</f>
        <v>3830161.12243709</v>
      </c>
      <c r="E341" s="13" t="n">
        <f aca="false">INDEX(Předpoklady!$C$18:$C$21,MATCH(D341,Předpoklady!$A$18:$A$21,1))</f>
        <v>0.0036</v>
      </c>
      <c r="F341" s="19" t="n">
        <f aca="false">D341*(1-E341/12)</f>
        <v>3829012.07410036</v>
      </c>
      <c r="G341" s="19" t="n">
        <f aca="false">(G340+C341)*(1+Předpoklady!$B$12)*(1-Předpoklady!$B$9/12)</f>
        <v>3905145.67931056</v>
      </c>
      <c r="H341" s="19" t="n">
        <f aca="false">IF(AND(A341&gt;12,MOD(A341,12)=Předpoklady!$B$8),Předpoklady!$B$14,0)</f>
        <v>7200</v>
      </c>
      <c r="I341" s="19" t="n">
        <f aca="false">I340+H341</f>
        <v>201600</v>
      </c>
      <c r="J341" s="19" t="n">
        <f aca="false">J340*(1+Předpoklady!$B$12)*(1-Předpoklady!$B$9/12)+H341</f>
        <v>551157.145496133</v>
      </c>
      <c r="K341" s="19" t="n">
        <f aca="false">K340+D341*E341/12</f>
        <v>148750.612953436</v>
      </c>
      <c r="L341" s="19" t="n">
        <f aca="false">L340+((G340+C341)+J340)*(1+Předpoklady!$B$12)*Předpoklady!$B$9/12</f>
        <v>134703.608085842</v>
      </c>
      <c r="M341" s="19" t="n">
        <f aca="false">(O340+C341)*(1+Předpoklady!$B$12)</f>
        <v>3782990.28832709</v>
      </c>
      <c r="N341" s="13" t="n">
        <f aca="false">INDEX(Předpoklady!$D$18:$D$21,MATCH(M341,Předpoklady!$A$18:$A$21,1))</f>
        <v>0.0042</v>
      </c>
      <c r="O341" s="19" t="n">
        <f aca="false">M341*(1-N341/12)</f>
        <v>3781666.24172618</v>
      </c>
      <c r="P341" s="19" t="n">
        <f aca="false">P340+M341*N341/12</f>
        <v>172121.174726704</v>
      </c>
    </row>
    <row r="342" customFormat="false" ht="15" hidden="false" customHeight="false" outlineLevel="0" collapsed="false">
      <c r="A342" s="18" t="n">
        <v>341</v>
      </c>
      <c r="B342" s="18" t="n">
        <f aca="false">ROUNDUP(A342/12,0)</f>
        <v>29</v>
      </c>
      <c r="C342" s="17" t="n">
        <f aca="false">Předpoklady!$B$4</f>
        <v>4000</v>
      </c>
      <c r="D342" s="19" t="n">
        <f aca="false">(F341+C342)*(1+Předpoklady!$B$12)</f>
        <v>3854684.481639</v>
      </c>
      <c r="E342" s="13" t="n">
        <f aca="false">INDEX(Předpoklady!$C$18:$C$21,MATCH(D342,Předpoklady!$A$18:$A$21,1))</f>
        <v>0.0036</v>
      </c>
      <c r="F342" s="19" t="n">
        <f aca="false">D342*(1-E342/12)</f>
        <v>3853528.07629451</v>
      </c>
      <c r="G342" s="19" t="n">
        <f aca="false">(G341+C342)*(1+Předpoklady!$B$12)*(1-Předpoklady!$B$9/12)</f>
        <v>3930265.7451826</v>
      </c>
      <c r="H342" s="19" t="n">
        <f aca="false">IF(AND(A342&gt;12,MOD(A342,12)=Předpoklady!$B$8),Předpoklady!$B$14,0)</f>
        <v>0</v>
      </c>
      <c r="I342" s="19" t="n">
        <f aca="false">I341+H342</f>
        <v>201600</v>
      </c>
      <c r="J342" s="19" t="n">
        <f aca="false">J341*(1+Předpoklady!$B$12)*(1-Předpoklady!$B$9/12)+H342</f>
        <v>554134.899761044</v>
      </c>
      <c r="K342" s="19" t="n">
        <f aca="false">K341+D342*E342/12</f>
        <v>149907.018297928</v>
      </c>
      <c r="L342" s="19" t="n">
        <f aca="false">L341+((G341+C342)+J341)*(1+Předpoklady!$B$12)*Předpoklady!$B$9/12</f>
        <v>135824.988592204</v>
      </c>
      <c r="M342" s="19" t="n">
        <f aca="false">(O341+C342)*(1+Předpoklady!$B$12)</f>
        <v>3807070.94904509</v>
      </c>
      <c r="N342" s="13" t="n">
        <f aca="false">INDEX(Předpoklady!$D$18:$D$21,MATCH(M342,Předpoklady!$A$18:$A$21,1))</f>
        <v>0.0042</v>
      </c>
      <c r="O342" s="19" t="n">
        <f aca="false">M342*(1-N342/12)</f>
        <v>3805738.47421292</v>
      </c>
      <c r="P342" s="19" t="n">
        <f aca="false">P341+M342*N342/12</f>
        <v>173453.64955887</v>
      </c>
    </row>
    <row r="343" customFormat="false" ht="15" hidden="false" customHeight="false" outlineLevel="0" collapsed="false">
      <c r="A343" s="18" t="n">
        <v>342</v>
      </c>
      <c r="B343" s="18" t="n">
        <f aca="false">ROUNDUP(A343/12,0)</f>
        <v>29</v>
      </c>
      <c r="C343" s="17" t="n">
        <f aca="false">Předpoklady!$B$4</f>
        <v>4000</v>
      </c>
      <c r="D343" s="19" t="n">
        <f aca="false">(F342+C343)*(1+Předpoklady!$B$12)</f>
        <v>3879339.10087388</v>
      </c>
      <c r="E343" s="13" t="n">
        <f aca="false">INDEX(Předpoklady!$C$18:$C$21,MATCH(D343,Předpoklady!$A$18:$A$21,1))</f>
        <v>0.0036</v>
      </c>
      <c r="F343" s="19" t="n">
        <f aca="false">D343*(1-E343/12)</f>
        <v>3878175.29914362</v>
      </c>
      <c r="G343" s="19" t="n">
        <f aca="false">(G342+C343)*(1+Předpoklady!$B$12)*(1-Předpoklady!$B$9/12)</f>
        <v>3955521.52803463</v>
      </c>
      <c r="H343" s="19" t="n">
        <f aca="false">IF(AND(A343&gt;12,MOD(A343,12)=Předpoklady!$B$8),Předpoklady!$B$14,0)</f>
        <v>0</v>
      </c>
      <c r="I343" s="19" t="n">
        <f aca="false">I342+H343</f>
        <v>201600</v>
      </c>
      <c r="J343" s="19" t="n">
        <f aca="false">J342*(1+Předpoklady!$B$12)*(1-Předpoklady!$B$9/12)+H343</f>
        <v>557128.742033766</v>
      </c>
      <c r="K343" s="19" t="n">
        <f aca="false">K342+D343*E343/12</f>
        <v>151070.82002819</v>
      </c>
      <c r="L343" s="19" t="n">
        <f aca="false">L342+((G342+C343)+J342)*(1+Předpoklady!$B$12)*Předpoklady!$B$9/12</f>
        <v>136953.433270891</v>
      </c>
      <c r="M343" s="19" t="n">
        <f aca="false">(O342+C343)*(1+Předpoklady!$B$12)</f>
        <v>3831279.28943412</v>
      </c>
      <c r="N343" s="13" t="n">
        <f aca="false">INDEX(Předpoklady!$D$18:$D$21,MATCH(M343,Předpoklady!$A$18:$A$21,1))</f>
        <v>0.0042</v>
      </c>
      <c r="O343" s="19" t="n">
        <f aca="false">M343*(1-N343/12)</f>
        <v>3829938.34168281</v>
      </c>
      <c r="P343" s="19" t="n">
        <f aca="false">P342+M343*N343/12</f>
        <v>174794.597310172</v>
      </c>
    </row>
    <row r="344" customFormat="false" ht="15" hidden="false" customHeight="false" outlineLevel="0" collapsed="false">
      <c r="A344" s="18" t="n">
        <v>343</v>
      </c>
      <c r="B344" s="18" t="n">
        <f aca="false">ROUNDUP(A344/12,0)</f>
        <v>29</v>
      </c>
      <c r="C344" s="17" t="n">
        <f aca="false">Předpoklady!$B$4</f>
        <v>4000</v>
      </c>
      <c r="D344" s="19" t="n">
        <f aca="false">(F343+C344)*(1+Předpoklady!$B$12)</f>
        <v>3904125.68270437</v>
      </c>
      <c r="E344" s="13" t="n">
        <f aca="false">INDEX(Předpoklady!$C$18:$C$21,MATCH(D344,Předpoklady!$A$18:$A$21,1))</f>
        <v>0.0036</v>
      </c>
      <c r="F344" s="19" t="n">
        <f aca="false">D344*(1-E344/12)</f>
        <v>3902954.44499956</v>
      </c>
      <c r="G344" s="19" t="n">
        <f aca="false">(G343+C344)*(1+Předpoklady!$B$12)*(1-Předpoklady!$B$9/12)</f>
        <v>3980913.76110909</v>
      </c>
      <c r="H344" s="19" t="n">
        <f aca="false">IF(AND(A344&gt;12,MOD(A344,12)=Předpoklady!$B$8),Předpoklady!$B$14,0)</f>
        <v>0</v>
      </c>
      <c r="I344" s="19" t="n">
        <f aca="false">I343+H344</f>
        <v>201600</v>
      </c>
      <c r="J344" s="19" t="n">
        <f aca="false">J343*(1+Předpoklady!$B$12)*(1-Předpoklady!$B$9/12)+H344</f>
        <v>560138.759233492</v>
      </c>
      <c r="K344" s="19" t="n">
        <f aca="false">K343+D344*E344/12</f>
        <v>152242.057733001</v>
      </c>
      <c r="L344" s="19" t="n">
        <f aca="false">L343+((G343+C344)+J343)*(1+Předpoklady!$B$12)*Předpoklady!$B$9/12</f>
        <v>138088.980287731</v>
      </c>
      <c r="M344" s="19" t="n">
        <f aca="false">(O343+C344)*(1+Předpoklady!$B$12)</f>
        <v>3855615.98647304</v>
      </c>
      <c r="N344" s="13" t="n">
        <f aca="false">INDEX(Předpoklady!$D$18:$D$21,MATCH(M344,Předpoklady!$A$18:$A$21,1))</f>
        <v>0.0042</v>
      </c>
      <c r="O344" s="19" t="n">
        <f aca="false">M344*(1-N344/12)</f>
        <v>3854266.52087777</v>
      </c>
      <c r="P344" s="19" t="n">
        <f aca="false">P343+M344*N344/12</f>
        <v>176144.062905437</v>
      </c>
    </row>
    <row r="345" customFormat="false" ht="15" hidden="false" customHeight="false" outlineLevel="0" collapsed="false">
      <c r="A345" s="18" t="n">
        <v>344</v>
      </c>
      <c r="B345" s="18" t="n">
        <f aca="false">ROUNDUP(A345/12,0)</f>
        <v>29</v>
      </c>
      <c r="C345" s="17" t="n">
        <f aca="false">Předpoklady!$B$4</f>
        <v>4000</v>
      </c>
      <c r="D345" s="19" t="n">
        <f aca="false">(F344+C345)*(1+Předpoklady!$B$12)</f>
        <v>3929044.93345355</v>
      </c>
      <c r="E345" s="13" t="n">
        <f aca="false">INDEX(Předpoklady!$C$18:$C$21,MATCH(D345,Předpoklady!$A$18:$A$21,1))</f>
        <v>0.0036</v>
      </c>
      <c r="F345" s="19" t="n">
        <f aca="false">D345*(1-E345/12)</f>
        <v>3927866.21997352</v>
      </c>
      <c r="G345" s="19" t="n">
        <f aca="false">(G344+C345)*(1+Předpoklady!$B$12)*(1-Předpoklady!$B$9/12)</f>
        <v>4006443.18160996</v>
      </c>
      <c r="H345" s="19" t="n">
        <f aca="false">IF(AND(A345&gt;12,MOD(A345,12)=Předpoklady!$B$8),Předpoklady!$B$14,0)</f>
        <v>0</v>
      </c>
      <c r="I345" s="19" t="n">
        <f aca="false">I344+H345</f>
        <v>201600</v>
      </c>
      <c r="J345" s="19" t="n">
        <f aca="false">J344*(1+Předpoklady!$B$12)*(1-Předpoklady!$B$9/12)+H345</f>
        <v>563165.038749015</v>
      </c>
      <c r="K345" s="19" t="n">
        <f aca="false">K344+D345*E345/12</f>
        <v>153420.771213037</v>
      </c>
      <c r="L345" s="19" t="n">
        <f aca="false">L344+((G344+C345)+J344)*(1+Předpoklady!$B$12)*Předpoklady!$B$9/12</f>
        <v>139231.668014753</v>
      </c>
      <c r="M345" s="19" t="n">
        <f aca="false">(O344+C345)*(1+Předpoklady!$B$12)</f>
        <v>3880081.72073017</v>
      </c>
      <c r="N345" s="13" t="n">
        <f aca="false">INDEX(Předpoklady!$D$18:$D$21,MATCH(M345,Předpoklady!$A$18:$A$21,1))</f>
        <v>0.0042</v>
      </c>
      <c r="O345" s="19" t="n">
        <f aca="false">M345*(1-N345/12)</f>
        <v>3878723.69212792</v>
      </c>
      <c r="P345" s="19" t="n">
        <f aca="false">P344+M345*N345/12</f>
        <v>177502.091507693</v>
      </c>
    </row>
    <row r="346" customFormat="false" ht="15" hidden="false" customHeight="false" outlineLevel="0" collapsed="false">
      <c r="A346" s="18" t="n">
        <v>345</v>
      </c>
      <c r="B346" s="18" t="n">
        <f aca="false">ROUNDUP(A346/12,0)</f>
        <v>29</v>
      </c>
      <c r="C346" s="17" t="n">
        <f aca="false">Předpoklady!$B$4</f>
        <v>4000</v>
      </c>
      <c r="D346" s="19" t="n">
        <f aca="false">(F345+C346)*(1+Předpoklady!$B$12)</f>
        <v>3954097.56322508</v>
      </c>
      <c r="E346" s="13" t="n">
        <f aca="false">INDEX(Předpoklady!$C$18:$C$21,MATCH(D346,Předpoklady!$A$18:$A$21,1))</f>
        <v>0.0036</v>
      </c>
      <c r="F346" s="19" t="n">
        <f aca="false">D346*(1-E346/12)</f>
        <v>3952911.33395611</v>
      </c>
      <c r="G346" s="19" t="n">
        <f aca="false">(G345+C346)*(1+Předpoklady!$B$12)*(1-Předpoklady!$B$9/12)</f>
        <v>4032110.5307241</v>
      </c>
      <c r="H346" s="19" t="n">
        <f aca="false">IF(AND(A346&gt;12,MOD(A346,12)=Předpoklady!$B$8),Předpoklady!$B$14,0)</f>
        <v>0</v>
      </c>
      <c r="I346" s="19" t="n">
        <f aca="false">I345+H346</f>
        <v>201600</v>
      </c>
      <c r="J346" s="19" t="n">
        <f aca="false">J345*(1+Předpoklady!$B$12)*(1-Předpoklady!$B$9/12)+H346</f>
        <v>566207.668441267</v>
      </c>
      <c r="K346" s="19" t="n">
        <f aca="false">K345+D346*E346/12</f>
        <v>154607.000482005</v>
      </c>
      <c r="L346" s="19" t="n">
        <f aca="false">L345+((G345+C346)+J345)*(1+Předpoklady!$B$12)*Předpoklady!$B$9/12</f>
        <v>140381.535031298</v>
      </c>
      <c r="M346" s="19" t="n">
        <f aca="false">(O345+C346)*(1+Předpoklady!$B$12)</f>
        <v>3904677.17638233</v>
      </c>
      <c r="N346" s="13" t="n">
        <f aca="false">INDEX(Předpoklady!$D$18:$D$21,MATCH(M346,Předpoklady!$A$18:$A$21,1))</f>
        <v>0.0042</v>
      </c>
      <c r="O346" s="19" t="n">
        <f aca="false">M346*(1-N346/12)</f>
        <v>3903310.5393706</v>
      </c>
      <c r="P346" s="19" t="n">
        <f aca="false">P345+M346*N346/12</f>
        <v>178868.728519427</v>
      </c>
    </row>
    <row r="347" customFormat="false" ht="15" hidden="false" customHeight="false" outlineLevel="0" collapsed="false">
      <c r="A347" s="18" t="n">
        <v>346</v>
      </c>
      <c r="B347" s="18" t="n">
        <f aca="false">ROUNDUP(A347/12,0)</f>
        <v>29</v>
      </c>
      <c r="C347" s="17" t="n">
        <f aca="false">Předpoklady!$B$4</f>
        <v>4000</v>
      </c>
      <c r="D347" s="19" t="n">
        <f aca="false">(F346+C347)*(1+Předpoklady!$B$12)</f>
        <v>3979284.28592337</v>
      </c>
      <c r="E347" s="13" t="n">
        <f aca="false">INDEX(Předpoklady!$C$18:$C$21,MATCH(D347,Předpoklady!$A$18:$A$21,1))</f>
        <v>0.0036</v>
      </c>
      <c r="F347" s="19" t="n">
        <f aca="false">D347*(1-E347/12)</f>
        <v>3978090.50063759</v>
      </c>
      <c r="G347" s="19" t="n">
        <f aca="false">(G346+C347)*(1+Předpoklady!$B$12)*(1-Předpoklady!$B$9/12)</f>
        <v>4057916.55364284</v>
      </c>
      <c r="H347" s="19" t="n">
        <f aca="false">IF(AND(A347&gt;12,MOD(A347,12)=Předpoklady!$B$8),Předpoklady!$B$14,0)</f>
        <v>0</v>
      </c>
      <c r="I347" s="19" t="n">
        <f aca="false">I346+H347</f>
        <v>201600</v>
      </c>
      <c r="J347" s="19" t="n">
        <f aca="false">J346*(1+Předpoklady!$B$12)*(1-Předpoklady!$B$9/12)+H347</f>
        <v>569266.736645868</v>
      </c>
      <c r="K347" s="19" t="n">
        <f aca="false">K346+D347*E347/12</f>
        <v>155800.785767782</v>
      </c>
      <c r="L347" s="19" t="n">
        <f aca="false">L346+((G346+C347)+J346)*(1+Předpoklady!$B$12)*Předpoklady!$B$9/12</f>
        <v>141538.620125144</v>
      </c>
      <c r="M347" s="19" t="n">
        <f aca="false">(O346+C347)*(1+Předpoklady!$B$12)</f>
        <v>3929403.04123394</v>
      </c>
      <c r="N347" s="13" t="n">
        <f aca="false">INDEX(Předpoklady!$D$18:$D$21,MATCH(M347,Předpoklady!$A$18:$A$21,1))</f>
        <v>0.0042</v>
      </c>
      <c r="O347" s="19" t="n">
        <f aca="false">M347*(1-N347/12)</f>
        <v>3928027.75016951</v>
      </c>
      <c r="P347" s="19" t="n">
        <f aca="false">P346+M347*N347/12</f>
        <v>180244.019583859</v>
      </c>
    </row>
    <row r="348" customFormat="false" ht="15" hidden="false" customHeight="false" outlineLevel="0" collapsed="false">
      <c r="A348" s="18" t="n">
        <v>347</v>
      </c>
      <c r="B348" s="18" t="n">
        <f aca="false">ROUNDUP(A348/12,0)</f>
        <v>29</v>
      </c>
      <c r="C348" s="17" t="n">
        <f aca="false">Předpoklady!$B$4</f>
        <v>4000</v>
      </c>
      <c r="D348" s="19" t="n">
        <f aca="false">(F347+C348)*(1+Předpoklady!$B$12)</f>
        <v>4004605.819274</v>
      </c>
      <c r="E348" s="13" t="n">
        <f aca="false">INDEX(Předpoklady!$C$18:$C$21,MATCH(D348,Předpoklady!$A$18:$A$21,1))</f>
        <v>0.0036</v>
      </c>
      <c r="F348" s="19" t="n">
        <f aca="false">D348*(1-E348/12)</f>
        <v>4003404.43752822</v>
      </c>
      <c r="G348" s="19" t="n">
        <f aca="false">(G347+C348)*(1+Předpoklady!$B$12)*(1-Předpoklady!$B$9/12)</f>
        <v>4083861.99958355</v>
      </c>
      <c r="H348" s="19" t="n">
        <f aca="false">IF(AND(A348&gt;12,MOD(A348,12)=Předpoklady!$B$8),Předpoklady!$B$14,0)</f>
        <v>0</v>
      </c>
      <c r="I348" s="19" t="n">
        <f aca="false">I347+H348</f>
        <v>201600</v>
      </c>
      <c r="J348" s="19" t="n">
        <f aca="false">J347*(1+Předpoklady!$B$12)*(1-Předpoklady!$B$9/12)+H348</f>
        <v>572342.332175693</v>
      </c>
      <c r="K348" s="19" t="n">
        <f aca="false">K347+D348*E348/12</f>
        <v>157002.167513564</v>
      </c>
      <c r="L348" s="19" t="n">
        <f aca="false">L347+((G347+C348)+J347)*(1+Předpoklady!$B$12)*Předpoklady!$B$9/12</f>
        <v>142702.962293626</v>
      </c>
      <c r="M348" s="19" t="n">
        <f aca="false">(O347+C348)*(1+Předpoklady!$B$12)</f>
        <v>3954260.00673628</v>
      </c>
      <c r="N348" s="13" t="n">
        <f aca="false">INDEX(Předpoklady!$D$18:$D$21,MATCH(M348,Předpoklady!$A$18:$A$21,1))</f>
        <v>0.0042</v>
      </c>
      <c r="O348" s="19" t="n">
        <f aca="false">M348*(1-N348/12)</f>
        <v>3952876.01573392</v>
      </c>
      <c r="P348" s="19" t="n">
        <f aca="false">P347+M348*N348/12</f>
        <v>181628.010586216</v>
      </c>
    </row>
    <row r="349" customFormat="false" ht="15" hidden="false" customHeight="false" outlineLevel="0" collapsed="false">
      <c r="A349" s="18" t="n">
        <v>348</v>
      </c>
      <c r="B349" s="18" t="n">
        <f aca="false">ROUNDUP(A349/12,0)</f>
        <v>29</v>
      </c>
      <c r="C349" s="17" t="n">
        <f aca="false">Předpoklady!$B$4</f>
        <v>4000</v>
      </c>
      <c r="D349" s="19" t="n">
        <f aca="false">(F348+C349)*(1+Předpoklady!$B$12)</f>
        <v>4030062.88484414</v>
      </c>
      <c r="E349" s="13" t="n">
        <f aca="false">INDEX(Předpoklady!$C$18:$C$21,MATCH(D349,Předpoklady!$A$18:$A$21,1))</f>
        <v>0.0036</v>
      </c>
      <c r="F349" s="19" t="n">
        <f aca="false">D349*(1-E349/12)</f>
        <v>4028853.86597868</v>
      </c>
      <c r="G349" s="19" t="n">
        <f aca="false">(G348+C349)*(1+Předpoklady!$B$12)*(1-Předpoklady!$B$9/12)</f>
        <v>4109947.62181143</v>
      </c>
      <c r="H349" s="19" t="n">
        <f aca="false">IF(AND(A349&gt;12,MOD(A349,12)=Předpoklady!$B$8),Předpoklady!$B$14,0)</f>
        <v>0</v>
      </c>
      <c r="I349" s="19" t="n">
        <f aca="false">I348+H349</f>
        <v>201600</v>
      </c>
      <c r="J349" s="19" t="n">
        <f aca="false">J348*(1+Předpoklady!$B$12)*(1-Předpoklady!$B$9/12)+H349</f>
        <v>575434.544323447</v>
      </c>
      <c r="K349" s="19" t="n">
        <f aca="false">K348+D349*E349/12</f>
        <v>158211.186379017</v>
      </c>
      <c r="L349" s="19" t="n">
        <f aca="false">L348+((G348+C349)+J348)*(1+Předpoklady!$B$12)*Předpoklady!$B$9/12</f>
        <v>143874.600744772</v>
      </c>
      <c r="M349" s="19" t="n">
        <f aca="false">(O348+C349)*(1+Předpoklady!$B$12)</f>
        <v>3979248.76800682</v>
      </c>
      <c r="N349" s="13" t="n">
        <f aca="false">INDEX(Předpoklady!$D$18:$D$21,MATCH(M349,Předpoklady!$A$18:$A$21,1))</f>
        <v>0.0042</v>
      </c>
      <c r="O349" s="19" t="n">
        <f aca="false">M349*(1-N349/12)</f>
        <v>3977856.03093801</v>
      </c>
      <c r="P349" s="19" t="n">
        <f aca="false">P348+M349*N349/12</f>
        <v>183020.747655019</v>
      </c>
    </row>
    <row r="350" customFormat="false" ht="15" hidden="false" customHeight="false" outlineLevel="0" collapsed="false">
      <c r="A350" s="18" t="n">
        <v>349</v>
      </c>
      <c r="B350" s="18" t="n">
        <f aca="false">ROUNDUP(A350/12,0)</f>
        <v>30</v>
      </c>
      <c r="C350" s="17" t="n">
        <f aca="false">Předpoklady!$B$4</f>
        <v>4000</v>
      </c>
      <c r="D350" s="19" t="n">
        <f aca="false">(F349+C350)*(1+Předpoklady!$B$12)</f>
        <v>4055656.20806309</v>
      </c>
      <c r="E350" s="13" t="n">
        <f aca="false">INDEX(Předpoklady!$C$18:$C$21,MATCH(D350,Předpoklady!$A$18:$A$21,1))</f>
        <v>0.0036</v>
      </c>
      <c r="F350" s="19" t="n">
        <f aca="false">D350*(1-E350/12)</f>
        <v>4054439.51120067</v>
      </c>
      <c r="G350" s="19" t="n">
        <f aca="false">(G349+C350)*(1+Předpoklady!$B$12)*(1-Předpoklady!$B$9/12)</f>
        <v>4136174.17766138</v>
      </c>
      <c r="H350" s="19" t="n">
        <f aca="false">IF(AND(A350&gt;12,MOD(A350,12)=Předpoklady!$B$8),Předpoklady!$B$14,0)</f>
        <v>0</v>
      </c>
      <c r="I350" s="19" t="n">
        <f aca="false">I349+H350</f>
        <v>201600</v>
      </c>
      <c r="J350" s="19" t="n">
        <f aca="false">J349*(1+Předpoklady!$B$12)*(1-Předpoklady!$B$9/12)+H350</f>
        <v>578543.462864263</v>
      </c>
      <c r="K350" s="19" t="n">
        <f aca="false">K349+D350*E350/12</f>
        <v>159427.883241436</v>
      </c>
      <c r="L350" s="19" t="n">
        <f aca="false">L349+((G349+C350)+J349)*(1+Předpoklady!$B$12)*Předpoklady!$B$9/12</f>
        <v>145053.574898442</v>
      </c>
      <c r="M350" s="19" t="n">
        <f aca="false">(O349+C350)*(1+Předpoklady!$B$12)</f>
        <v>4004370.02384865</v>
      </c>
      <c r="N350" s="13" t="n">
        <f aca="false">INDEX(Předpoklady!$D$18:$D$21,MATCH(M350,Předpoklady!$A$18:$A$21,1))</f>
        <v>0.0042</v>
      </c>
      <c r="O350" s="19" t="n">
        <f aca="false">M350*(1-N350/12)</f>
        <v>4002968.49434031</v>
      </c>
      <c r="P350" s="19" t="n">
        <f aca="false">P349+M350*N350/12</f>
        <v>184422.277163366</v>
      </c>
    </row>
    <row r="351" customFormat="false" ht="15" hidden="false" customHeight="false" outlineLevel="0" collapsed="false">
      <c r="A351" s="18" t="n">
        <v>350</v>
      </c>
      <c r="B351" s="18" t="n">
        <f aca="false">ROUNDUP(A351/12,0)</f>
        <v>30</v>
      </c>
      <c r="C351" s="17" t="n">
        <f aca="false">Předpoklady!$B$4</f>
        <v>4000</v>
      </c>
      <c r="D351" s="19" t="n">
        <f aca="false">(F350+C351)*(1+Předpoklady!$B$12)</f>
        <v>4081386.51824299</v>
      </c>
      <c r="E351" s="13" t="n">
        <f aca="false">INDEX(Předpoklady!$C$18:$C$21,MATCH(D351,Předpoklady!$A$18:$A$21,1))</f>
        <v>0.0036</v>
      </c>
      <c r="F351" s="19" t="n">
        <f aca="false">D351*(1-E351/12)</f>
        <v>4080162.10228751</v>
      </c>
      <c r="G351" s="19" t="n">
        <f aca="false">(G350+C351)*(1+Předpoklady!$B$12)*(1-Předpoklady!$B$9/12)</f>
        <v>4162542.42855996</v>
      </c>
      <c r="H351" s="19" t="n">
        <f aca="false">IF(AND(A351&gt;12,MOD(A351,12)=Předpoklady!$B$8),Předpoklady!$B$14,0)</f>
        <v>0</v>
      </c>
      <c r="I351" s="19" t="n">
        <f aca="false">I350+H351</f>
        <v>201600</v>
      </c>
      <c r="J351" s="19" t="n">
        <f aca="false">J350*(1+Předpoklady!$B$12)*(1-Předpoklady!$B$9/12)+H351</f>
        <v>581669.178058301</v>
      </c>
      <c r="K351" s="19" t="n">
        <f aca="false">K350+D351*E351/12</f>
        <v>160652.299196909</v>
      </c>
      <c r="L351" s="19" t="n">
        <f aca="false">L350+((G350+C351)+J350)*(1+Předpoklady!$B$12)*Předpoklady!$B$9/12</f>
        <v>146239.924387469</v>
      </c>
      <c r="M351" s="19" t="n">
        <f aca="false">(O350+C351)*(1+Předpoklady!$B$12)</f>
        <v>4029624.47677006</v>
      </c>
      <c r="N351" s="13" t="n">
        <f aca="false">INDEX(Předpoklady!$D$18:$D$21,MATCH(M351,Předpoklady!$A$18:$A$21,1))</f>
        <v>0.0042</v>
      </c>
      <c r="O351" s="19" t="n">
        <f aca="false">M351*(1-N351/12)</f>
        <v>4028214.10820319</v>
      </c>
      <c r="P351" s="19" t="n">
        <f aca="false">P350+M351*N351/12</f>
        <v>185832.645730235</v>
      </c>
    </row>
    <row r="352" customFormat="false" ht="15" hidden="false" customHeight="false" outlineLevel="0" collapsed="false">
      <c r="A352" s="18" t="n">
        <v>351</v>
      </c>
      <c r="B352" s="18" t="n">
        <f aca="false">ROUNDUP(A352/12,0)</f>
        <v>30</v>
      </c>
      <c r="C352" s="17" t="n">
        <f aca="false">Předpoklady!$B$4</f>
        <v>4000</v>
      </c>
      <c r="D352" s="19" t="n">
        <f aca="false">(F351+C352)*(1+Předpoklady!$B$12)</f>
        <v>4107254.54859958</v>
      </c>
      <c r="E352" s="13" t="n">
        <f aca="false">INDEX(Předpoklady!$C$18:$C$21,MATCH(D352,Předpoklady!$A$18:$A$21,1))</f>
        <v>0.0036</v>
      </c>
      <c r="F352" s="19" t="n">
        <f aca="false">D352*(1-E352/12)</f>
        <v>4106022.372235</v>
      </c>
      <c r="G352" s="19" t="n">
        <f aca="false">(G351+C352)*(1+Předpoklady!$B$12)*(1-Předpoklady!$B$9/12)</f>
        <v>4189053.14004752</v>
      </c>
      <c r="H352" s="19" t="n">
        <f aca="false">IF(AND(A352&gt;12,MOD(A352,12)=Předpoklady!$B$8),Předpoklady!$B$14,0)</f>
        <v>0</v>
      </c>
      <c r="I352" s="19" t="n">
        <f aca="false">I351+H352</f>
        <v>201600</v>
      </c>
      <c r="J352" s="19" t="n">
        <f aca="false">J351*(1+Předpoklady!$B$12)*(1-Předpoklady!$B$9/12)+H352</f>
        <v>584811.780653376</v>
      </c>
      <c r="K352" s="19" t="n">
        <f aca="false">K351+D352*E352/12</f>
        <v>161884.475561489</v>
      </c>
      <c r="L352" s="19" t="n">
        <f aca="false">L351+((G351+C352)+J351)*(1+Předpoklady!$B$12)*Předpoklady!$B$9/12</f>
        <v>147433.689058812</v>
      </c>
      <c r="M352" s="19" t="n">
        <f aca="false">(O351+C352)*(1+Předpoklady!$B$12)</f>
        <v>4055012.83300412</v>
      </c>
      <c r="N352" s="13" t="n">
        <f aca="false">INDEX(Předpoklady!$D$18:$D$21,MATCH(M352,Předpoklady!$A$18:$A$21,1))</f>
        <v>0.0042</v>
      </c>
      <c r="O352" s="19" t="n">
        <f aca="false">M352*(1-N352/12)</f>
        <v>4053593.57851257</v>
      </c>
      <c r="P352" s="19" t="n">
        <f aca="false">P351+M352*N352/12</f>
        <v>187251.900221787</v>
      </c>
    </row>
    <row r="353" customFormat="false" ht="15" hidden="false" customHeight="false" outlineLevel="0" collapsed="false">
      <c r="A353" s="18" t="n">
        <v>352</v>
      </c>
      <c r="B353" s="18" t="n">
        <f aca="false">ROUNDUP(A353/12,0)</f>
        <v>30</v>
      </c>
      <c r="C353" s="17" t="n">
        <f aca="false">Předpoklady!$B$4</f>
        <v>4000</v>
      </c>
      <c r="D353" s="19" t="n">
        <f aca="false">(F352+C353)*(1+Předpoklady!$B$12)</f>
        <v>4133261.0362731</v>
      </c>
      <c r="E353" s="13" t="n">
        <f aca="false">INDEX(Předpoklady!$C$18:$C$21,MATCH(D353,Předpoklady!$A$18:$A$21,1))</f>
        <v>0.0036</v>
      </c>
      <c r="F353" s="19" t="n">
        <f aca="false">D353*(1-E353/12)</f>
        <v>4132021.05796222</v>
      </c>
      <c r="G353" s="19" t="n">
        <f aca="false">(G352+C353)*(1+Předpoklady!$B$12)*(1-Předpoklady!$B$9/12)</f>
        <v>4215707.08180044</v>
      </c>
      <c r="H353" s="19" t="n">
        <f aca="false">IF(AND(A353&gt;12,MOD(A353,12)=Předpoklady!$B$8),Předpoklady!$B$14,0)</f>
        <v>7200</v>
      </c>
      <c r="I353" s="19" t="n">
        <f aca="false">I352+H353</f>
        <v>208800</v>
      </c>
      <c r="J353" s="19" t="n">
        <f aca="false">J352*(1+Předpoklady!$B$12)*(1-Předpoklady!$B$9/12)+H353</f>
        <v>595171.361887586</v>
      </c>
      <c r="K353" s="19" t="n">
        <f aca="false">K352+D353*E353/12</f>
        <v>163124.453872371</v>
      </c>
      <c r="L353" s="19" t="n">
        <f aca="false">L352+((G352+C353)+J352)*(1+Předpoklady!$B$12)*Předpoklady!$B$9/12</f>
        <v>148634.908974713</v>
      </c>
      <c r="M353" s="19" t="n">
        <f aca="false">(O352+C353)*(1+Předpoklady!$B$12)</f>
        <v>4080535.80252848</v>
      </c>
      <c r="N353" s="13" t="n">
        <f aca="false">INDEX(Předpoklady!$D$18:$D$21,MATCH(M353,Předpoklady!$A$18:$A$21,1))</f>
        <v>0.0042</v>
      </c>
      <c r="O353" s="19" t="n">
        <f aca="false">M353*(1-N353/12)</f>
        <v>4079107.61499759</v>
      </c>
      <c r="P353" s="19" t="n">
        <f aca="false">P352+M353*N353/12</f>
        <v>188680.087752672</v>
      </c>
    </row>
    <row r="354" customFormat="false" ht="15" hidden="false" customHeight="false" outlineLevel="0" collapsed="false">
      <c r="A354" s="18" t="n">
        <v>353</v>
      </c>
      <c r="B354" s="18" t="n">
        <f aca="false">ROUNDUP(A354/12,0)</f>
        <v>30</v>
      </c>
      <c r="C354" s="17" t="n">
        <f aca="false">Předpoklady!$B$4</f>
        <v>4000</v>
      </c>
      <c r="D354" s="19" t="n">
        <f aca="false">(F353+C354)*(1+Předpoklady!$B$12)</f>
        <v>4159406.72234931</v>
      </c>
      <c r="E354" s="13" t="n">
        <f aca="false">INDEX(Předpoklady!$C$18:$C$21,MATCH(D354,Předpoklady!$A$18:$A$21,1))</f>
        <v>0.0036</v>
      </c>
      <c r="F354" s="19" t="n">
        <f aca="false">D354*(1-E354/12)</f>
        <v>4158158.9003326</v>
      </c>
      <c r="G354" s="19" t="n">
        <f aca="false">(G353+C354)*(1+Předpoklady!$B$12)*(1-Předpoklady!$B$9/12)</f>
        <v>4242505.02765342</v>
      </c>
      <c r="H354" s="19" t="n">
        <f aca="false">IF(AND(A354&gt;12,MOD(A354,12)=Předpoklady!$B$8),Předpoklady!$B$14,0)</f>
        <v>0</v>
      </c>
      <c r="I354" s="19" t="n">
        <f aca="false">I353+H354</f>
        <v>208800</v>
      </c>
      <c r="J354" s="19" t="n">
        <f aca="false">J353*(1+Předpoklady!$B$12)*(1-Předpoklady!$B$9/12)+H354</f>
        <v>598386.913161294</v>
      </c>
      <c r="K354" s="19" t="n">
        <f aca="false">K353+D354*E354/12</f>
        <v>164372.275889075</v>
      </c>
      <c r="L354" s="19" t="n">
        <f aca="false">L353+((G353+C354)+J353)*(1+Předpoklady!$B$12)*Předpoklady!$B$9/12</f>
        <v>149845.434591321</v>
      </c>
      <c r="M354" s="19" t="n">
        <f aca="false">(O353+C354)*(1+Předpoklady!$B$12)</f>
        <v>4106194.09908521</v>
      </c>
      <c r="N354" s="13" t="n">
        <f aca="false">INDEX(Předpoklady!$D$18:$D$21,MATCH(M354,Předpoklady!$A$18:$A$21,1))</f>
        <v>0.0042</v>
      </c>
      <c r="O354" s="19" t="n">
        <f aca="false">M354*(1-N354/12)</f>
        <v>4104756.93115053</v>
      </c>
      <c r="P354" s="19" t="n">
        <f aca="false">P353+M354*N354/12</f>
        <v>190117.255687351</v>
      </c>
    </row>
    <row r="355" customFormat="false" ht="15" hidden="false" customHeight="false" outlineLevel="0" collapsed="false">
      <c r="A355" s="18" t="n">
        <v>354</v>
      </c>
      <c r="B355" s="18" t="n">
        <f aca="false">ROUNDUP(A355/12,0)</f>
        <v>30</v>
      </c>
      <c r="C355" s="17" t="n">
        <f aca="false">Předpoklady!$B$4</f>
        <v>4000</v>
      </c>
      <c r="D355" s="19" t="n">
        <f aca="false">(F354+C355)*(1+Předpoklady!$B$12)</f>
        <v>4185692.35188057</v>
      </c>
      <c r="E355" s="13" t="n">
        <f aca="false">INDEX(Předpoklady!$C$18:$C$21,MATCH(D355,Předpoklady!$A$18:$A$21,1))</f>
        <v>0.0036</v>
      </c>
      <c r="F355" s="19" t="n">
        <f aca="false">D355*(1-E355/12)</f>
        <v>4184436.644175</v>
      </c>
      <c r="G355" s="19" t="n">
        <f aca="false">(G354+C355)*(1+Předpoklady!$B$12)*(1-Předpoklady!$B$9/12)</f>
        <v>4269447.755622</v>
      </c>
      <c r="H355" s="19" t="n">
        <f aca="false">IF(AND(A355&gt;12,MOD(A355,12)=Předpoklady!$B$8),Předpoklady!$B$14,0)</f>
        <v>0</v>
      </c>
      <c r="I355" s="19" t="n">
        <f aca="false">I354+H355</f>
        <v>208800</v>
      </c>
      <c r="J355" s="19" t="n">
        <f aca="false">J354*(1+Předpoklady!$B$12)*(1-Předpoklady!$B$9/12)+H355</f>
        <v>601619.837196287</v>
      </c>
      <c r="K355" s="19" t="n">
        <f aca="false">K354+D355*E355/12</f>
        <v>165627.98359464</v>
      </c>
      <c r="L355" s="19" t="n">
        <f aca="false">L354+((G354+C355)+J354)*(1+Předpoklady!$B$12)*Předpoklady!$B$9/12</f>
        <v>151063.506007379</v>
      </c>
      <c r="M355" s="19" t="n">
        <f aca="false">(O354+C355)*(1+Předpoklady!$B$12)</f>
        <v>4131988.44020077</v>
      </c>
      <c r="N355" s="13" t="n">
        <f aca="false">INDEX(Předpoklady!$D$18:$D$21,MATCH(M355,Předpoklady!$A$18:$A$21,1))</f>
        <v>0.0042</v>
      </c>
      <c r="O355" s="19" t="n">
        <f aca="false">M355*(1-N355/12)</f>
        <v>4130542.2442467</v>
      </c>
      <c r="P355" s="19" t="n">
        <f aca="false">P354+M355*N355/12</f>
        <v>191563.451641422</v>
      </c>
    </row>
    <row r="356" customFormat="false" ht="15" hidden="false" customHeight="false" outlineLevel="0" collapsed="false">
      <c r="A356" s="18" t="n">
        <v>355</v>
      </c>
      <c r="B356" s="18" t="n">
        <f aca="false">ROUNDUP(A356/12,0)</f>
        <v>30</v>
      </c>
      <c r="C356" s="17" t="n">
        <f aca="false">Předpoklady!$B$4</f>
        <v>4000</v>
      </c>
      <c r="D356" s="19" t="n">
        <f aca="false">(F355+C356)*(1+Předpoklady!$B$12)</f>
        <v>4212118.67390711</v>
      </c>
      <c r="E356" s="13" t="n">
        <f aca="false">INDEX(Předpoklady!$C$18:$C$21,MATCH(D356,Předpoklady!$A$18:$A$21,1))</f>
        <v>0.0036</v>
      </c>
      <c r="F356" s="19" t="n">
        <f aca="false">D356*(1-E356/12)</f>
        <v>4210855.03830493</v>
      </c>
      <c r="G356" s="19" t="n">
        <f aca="false">(G355+C356)*(1+Předpoklady!$B$12)*(1-Předpoklady!$B$9/12)</f>
        <v>4296536.04792514</v>
      </c>
      <c r="H356" s="19" t="n">
        <f aca="false">IF(AND(A356&gt;12,MOD(A356,12)=Předpoklady!$B$8),Předpoklady!$B$14,0)</f>
        <v>0</v>
      </c>
      <c r="I356" s="19" t="n">
        <f aca="false">I355+H356</f>
        <v>208800</v>
      </c>
      <c r="J356" s="19" t="n">
        <f aca="false">J355*(1+Předpoklady!$B$12)*(1-Předpoklady!$B$9/12)+H356</f>
        <v>604870.227852936</v>
      </c>
      <c r="K356" s="19" t="n">
        <f aca="false">K355+D356*E356/12</f>
        <v>166891.619196812</v>
      </c>
      <c r="L356" s="19" t="n">
        <f aca="false">L355+((G355+C356)+J355)*(1+Předpoklady!$B$12)*Předpoklady!$B$9/12</f>
        <v>152289.16399082</v>
      </c>
      <c r="M356" s="19" t="n">
        <f aca="false">(O355+C356)*(1+Předpoklady!$B$12)</f>
        <v>4157919.54720604</v>
      </c>
      <c r="N356" s="13" t="n">
        <f aca="false">INDEX(Předpoklady!$D$18:$D$21,MATCH(M356,Předpoklady!$A$18:$A$21,1))</f>
        <v>0.0042</v>
      </c>
      <c r="O356" s="19" t="n">
        <f aca="false">M356*(1-N356/12)</f>
        <v>4156464.27536451</v>
      </c>
      <c r="P356" s="19" t="n">
        <f aca="false">P355+M356*N356/12</f>
        <v>193018.723482944</v>
      </c>
    </row>
    <row r="357" customFormat="false" ht="15" hidden="false" customHeight="false" outlineLevel="0" collapsed="false">
      <c r="A357" s="18" t="n">
        <v>356</v>
      </c>
      <c r="B357" s="18" t="n">
        <f aca="false">ROUNDUP(A357/12,0)</f>
        <v>30</v>
      </c>
      <c r="C357" s="17" t="n">
        <f aca="false">Předpoklady!$B$4</f>
        <v>4000</v>
      </c>
      <c r="D357" s="19" t="n">
        <f aca="false">(F356+C357)*(1+Předpoklady!$B$12)</f>
        <v>4238686.44147835</v>
      </c>
      <c r="E357" s="13" t="n">
        <f aca="false">INDEX(Předpoklady!$C$18:$C$21,MATCH(D357,Předpoklady!$A$18:$A$21,1))</f>
        <v>0.0036</v>
      </c>
      <c r="F357" s="19" t="n">
        <f aca="false">D357*(1-E357/12)</f>
        <v>4237414.83554591</v>
      </c>
      <c r="G357" s="19" t="n">
        <f aca="false">(G356+C357)*(1+Předpoklady!$B$12)*(1-Předpoklady!$B$9/12)</f>
        <v>4323770.69100789</v>
      </c>
      <c r="H357" s="19" t="n">
        <f aca="false">IF(AND(A357&gt;12,MOD(A357,12)=Předpoklady!$B$8),Předpoklady!$B$14,0)</f>
        <v>0</v>
      </c>
      <c r="I357" s="19" t="n">
        <f aca="false">I356+H357</f>
        <v>208800</v>
      </c>
      <c r="J357" s="19" t="n">
        <f aca="false">J356*(1+Předpoklady!$B$12)*(1-Předpoklady!$B$9/12)+H357</f>
        <v>608138.179498714</v>
      </c>
      <c r="K357" s="19" t="n">
        <f aca="false">K356+D357*E357/12</f>
        <v>168163.225129255</v>
      </c>
      <c r="L357" s="19" t="n">
        <f aca="false">L356+((G356+C357)+J356)*(1+Předpoklady!$B$12)*Předpoklady!$B$9/12</f>
        <v>153522.449529831</v>
      </c>
      <c r="M357" s="19" t="n">
        <f aca="false">(O356+C357)*(1+Předpoklady!$B$12)</f>
        <v>4183988.14525653</v>
      </c>
      <c r="N357" s="13" t="n">
        <f aca="false">INDEX(Předpoklady!$D$18:$D$21,MATCH(M357,Předpoklady!$A$18:$A$21,1))</f>
        <v>0.0042</v>
      </c>
      <c r="O357" s="19" t="n">
        <f aca="false">M357*(1-N357/12)</f>
        <v>4182523.74940569</v>
      </c>
      <c r="P357" s="19" t="n">
        <f aca="false">P356+M357*N357/12</f>
        <v>194483.119333784</v>
      </c>
    </row>
    <row r="358" customFormat="false" ht="15" hidden="false" customHeight="false" outlineLevel="0" collapsed="false">
      <c r="A358" s="18" t="n">
        <v>357</v>
      </c>
      <c r="B358" s="18" t="n">
        <f aca="false">ROUNDUP(A358/12,0)</f>
        <v>30</v>
      </c>
      <c r="C358" s="17" t="n">
        <f aca="false">Předpoklady!$B$4</f>
        <v>4000</v>
      </c>
      <c r="D358" s="19" t="n">
        <f aca="false">(F357+C358)*(1+Předpoklady!$B$12)</f>
        <v>4265396.41167438</v>
      </c>
      <c r="E358" s="13" t="n">
        <f aca="false">INDEX(Předpoklady!$C$18:$C$21,MATCH(D358,Předpoklady!$A$18:$A$21,1))</f>
        <v>0.0036</v>
      </c>
      <c r="F358" s="19" t="n">
        <f aca="false">D358*(1-E358/12)</f>
        <v>4264116.79275088</v>
      </c>
      <c r="G358" s="19" t="n">
        <f aca="false">(G357+C358)*(1+Předpoklady!$B$12)*(1-Předpoklady!$B$9/12)</f>
        <v>4351152.47556427</v>
      </c>
      <c r="H358" s="19" t="n">
        <f aca="false">IF(AND(A358&gt;12,MOD(A358,12)=Předpoklady!$B$8),Předpoklady!$B$14,0)</f>
        <v>0</v>
      </c>
      <c r="I358" s="19" t="n">
        <f aca="false">I357+H358</f>
        <v>208800</v>
      </c>
      <c r="J358" s="19" t="n">
        <f aca="false">J357*(1+Předpoklady!$B$12)*(1-Předpoklady!$B$9/12)+H358</f>
        <v>611423.787010936</v>
      </c>
      <c r="K358" s="19" t="n">
        <f aca="false">K357+D358*E358/12</f>
        <v>169442.844052758</v>
      </c>
      <c r="L358" s="19" t="n">
        <f aca="false">L357+((G357+C358)+J357)*(1+Předpoklady!$B$12)*Předpoklady!$B$9/12</f>
        <v>154763.403834051</v>
      </c>
      <c r="M358" s="19" t="n">
        <f aca="false">(O357+C358)*(1+Předpoklady!$B$12)</f>
        <v>4210194.96335266</v>
      </c>
      <c r="N358" s="13" t="n">
        <f aca="false">INDEX(Předpoklady!$D$18:$D$21,MATCH(M358,Předpoklady!$A$18:$A$21,1))</f>
        <v>0.0042</v>
      </c>
      <c r="O358" s="19" t="n">
        <f aca="false">M358*(1-N358/12)</f>
        <v>4208721.39511548</v>
      </c>
      <c r="P358" s="19" t="n">
        <f aca="false">P357+M358*N358/12</f>
        <v>195956.687570957</v>
      </c>
    </row>
    <row r="359" customFormat="false" ht="15" hidden="false" customHeight="false" outlineLevel="0" collapsed="false">
      <c r="A359" s="18" t="n">
        <v>358</v>
      </c>
      <c r="B359" s="18" t="n">
        <f aca="false">ROUNDUP(A359/12,0)</f>
        <v>30</v>
      </c>
      <c r="C359" s="17" t="n">
        <f aca="false">Předpoklady!$B$4</f>
        <v>4000</v>
      </c>
      <c r="D359" s="19" t="n">
        <f aca="false">(F358+C359)*(1+Předpoklady!$B$12)</f>
        <v>4292249.34562752</v>
      </c>
      <c r="E359" s="13" t="n">
        <f aca="false">INDEX(Předpoklady!$C$18:$C$21,MATCH(D359,Předpoklady!$A$18:$A$21,1))</f>
        <v>0.0036</v>
      </c>
      <c r="F359" s="19" t="n">
        <f aca="false">D359*(1-E359/12)</f>
        <v>4290961.67082383</v>
      </c>
      <c r="G359" s="19" t="n">
        <f aca="false">(G358+C359)*(1+Předpoklady!$B$12)*(1-Předpoklady!$B$9/12)</f>
        <v>4378682.19656022</v>
      </c>
      <c r="H359" s="19" t="n">
        <f aca="false">IF(AND(A359&gt;12,MOD(A359,12)=Předpoklady!$B$8),Předpoklady!$B$14,0)</f>
        <v>0</v>
      </c>
      <c r="I359" s="19" t="n">
        <f aca="false">I358+H359</f>
        <v>208800</v>
      </c>
      <c r="J359" s="19" t="n">
        <f aca="false">J358*(1+Předpoklady!$B$12)*(1-Předpoklady!$B$9/12)+H359</f>
        <v>614727.145779515</v>
      </c>
      <c r="K359" s="19" t="n">
        <f aca="false">K358+D359*E359/12</f>
        <v>170730.518856446</v>
      </c>
      <c r="L359" s="19" t="n">
        <f aca="false">L358+((G358+C359)+J358)*(1+Předpoklady!$B$12)*Předpoklady!$B$9/12</f>
        <v>156012.068335761</v>
      </c>
      <c r="M359" s="19" t="n">
        <f aca="false">(O358+C359)*(1+Předpoklady!$B$12)</f>
        <v>4236540.7343601</v>
      </c>
      <c r="N359" s="13" t="n">
        <f aca="false">INDEX(Předpoklady!$D$18:$D$21,MATCH(M359,Předpoklady!$A$18:$A$21,1))</f>
        <v>0.0042</v>
      </c>
      <c r="O359" s="19" t="n">
        <f aca="false">M359*(1-N359/12)</f>
        <v>4235057.94510307</v>
      </c>
      <c r="P359" s="19" t="n">
        <f aca="false">P358+M359*N359/12</f>
        <v>197439.476827983</v>
      </c>
    </row>
    <row r="360" customFormat="false" ht="15" hidden="false" customHeight="false" outlineLevel="0" collapsed="false">
      <c r="A360" s="18" t="n">
        <v>359</v>
      </c>
      <c r="B360" s="18" t="n">
        <f aca="false">ROUNDUP(A360/12,0)</f>
        <v>30</v>
      </c>
      <c r="C360" s="17" t="n">
        <f aca="false">Předpoklady!$B$4</f>
        <v>4000</v>
      </c>
      <c r="D360" s="19" t="n">
        <f aca="false">(F359+C360)*(1+Předpoklady!$B$12)</f>
        <v>4319246.008544</v>
      </c>
      <c r="E360" s="13" t="n">
        <f aca="false">INDEX(Předpoklady!$C$18:$C$21,MATCH(D360,Předpoklady!$A$18:$A$21,1))</f>
        <v>0.0036</v>
      </c>
      <c r="F360" s="19" t="n">
        <f aca="false">D360*(1-E360/12)</f>
        <v>4317950.23474144</v>
      </c>
      <c r="G360" s="19" t="n">
        <f aca="false">(G359+C360)*(1+Předpoklady!$B$12)*(1-Předpoklady!$B$9/12)</f>
        <v>4406360.65325664</v>
      </c>
      <c r="H360" s="19" t="n">
        <f aca="false">IF(AND(A360&gt;12,MOD(A360,12)=Předpoklady!$B$8),Předpoklady!$B$14,0)</f>
        <v>0</v>
      </c>
      <c r="I360" s="19" t="n">
        <f aca="false">I359+H360</f>
        <v>208800</v>
      </c>
      <c r="J360" s="19" t="n">
        <f aca="false">J359*(1+Předpoklady!$B$12)*(1-Předpoklady!$B$9/12)+H360</f>
        <v>618048.351709728</v>
      </c>
      <c r="K360" s="19" t="n">
        <f aca="false">K359+D360*E360/12</f>
        <v>172026.292659009</v>
      </c>
      <c r="L360" s="19" t="n">
        <f aca="false">L359+((G359+C360)+J359)*(1+Předpoklady!$B$12)*Předpoklady!$B$9/12</f>
        <v>157268.484691092</v>
      </c>
      <c r="M360" s="19" t="n">
        <f aca="false">(O359+C360)*(1+Předpoklady!$B$12)</f>
        <v>4263026.19503032</v>
      </c>
      <c r="N360" s="13" t="n">
        <f aca="false">INDEX(Předpoklady!$D$18:$D$21,MATCH(M360,Předpoklady!$A$18:$A$21,1))</f>
        <v>0.0042</v>
      </c>
      <c r="O360" s="19" t="n">
        <f aca="false">M360*(1-N360/12)</f>
        <v>4261534.13586206</v>
      </c>
      <c r="P360" s="19" t="n">
        <f aca="false">P359+M360*N360/12</f>
        <v>198931.535996244</v>
      </c>
    </row>
    <row r="361" customFormat="false" ht="15" hidden="false" customHeight="false" outlineLevel="0" collapsed="false">
      <c r="A361" s="18" t="n">
        <v>360</v>
      </c>
      <c r="B361" s="18" t="n">
        <f aca="false">ROUNDUP(A361/12,0)</f>
        <v>30</v>
      </c>
      <c r="C361" s="17" t="n">
        <f aca="false">Předpoklady!$B$4</f>
        <v>4000</v>
      </c>
      <c r="D361" s="19" t="n">
        <f aca="false">(F360+C361)*(1+Předpoklady!$B$12)</f>
        <v>4346387.16972579</v>
      </c>
      <c r="E361" s="13" t="n">
        <f aca="false">INDEX(Předpoklady!$C$18:$C$21,MATCH(D361,Předpoklady!$A$18:$A$21,1))</f>
        <v>0.0036</v>
      </c>
      <c r="F361" s="19" t="n">
        <f aca="false">D361*(1-E361/12)</f>
        <v>4345083.25357488</v>
      </c>
      <c r="G361" s="19" t="n">
        <f aca="false">(G360+C361)*(1+Předpoklady!$B$12)*(1-Předpoklady!$B$9/12)</f>
        <v>4434188.64923265</v>
      </c>
      <c r="H361" s="19" t="n">
        <f aca="false">IF(AND(A361&gt;12,MOD(A361,12)=Předpoklady!$B$8),Předpoklady!$B$14,0)</f>
        <v>0</v>
      </c>
      <c r="I361" s="19" t="n">
        <f aca="false">I360+H361</f>
        <v>208800</v>
      </c>
      <c r="J361" s="19" t="n">
        <f aca="false">J360*(1+Předpoklady!$B$12)*(1-Předpoklady!$B$9/12)+H361</f>
        <v>621387.501225005</v>
      </c>
      <c r="K361" s="19" t="n">
        <f aca="false">K360+D361*E361/12</f>
        <v>173330.208809927</v>
      </c>
      <c r="L361" s="19" t="n">
        <f aca="false">L360+((G360+C361)+J360)*(1+Předpoklady!$B$12)*Předpoklady!$B$9/12</f>
        <v>158532.694781229</v>
      </c>
      <c r="M361" s="19" t="n">
        <f aca="false">(O360+C361)*(1+Předpoklady!$B$12)</f>
        <v>4289652.08602116</v>
      </c>
      <c r="N361" s="13" t="n">
        <f aca="false">INDEX(Předpoklady!$D$18:$D$21,MATCH(M361,Předpoklady!$A$18:$A$21,1))</f>
        <v>0.0042</v>
      </c>
      <c r="O361" s="19" t="n">
        <f aca="false">M361*(1-N361/12)</f>
        <v>4288150.70779106</v>
      </c>
      <c r="P361" s="19" t="n">
        <f aca="false">P360+M361*N361/12</f>
        <v>200432.914226351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10" min="9" style="0" width="16"/>
    <col collapsed="false" customWidth="true" hidden="false" outlineLevel="0" max="12" min="11" style="0" width="18"/>
    <col collapsed="false" customWidth="true" hidden="false" outlineLevel="0" max="13" min="13" style="0" width="20"/>
    <col collapsed="false" customWidth="true" hidden="false" outlineLevel="0" max="14" min="14" style="0" width="16"/>
  </cols>
  <sheetData>
    <row r="1" customFormat="false" ht="43.5" hidden="false" customHeight="true" outlineLevel="0" collapsed="false">
      <c r="A1" s="15" t="s">
        <v>51</v>
      </c>
      <c r="B1" s="15" t="s">
        <v>50</v>
      </c>
      <c r="C1" s="15" t="s">
        <v>43</v>
      </c>
      <c r="D1" s="15" t="s">
        <v>30</v>
      </c>
      <c r="E1" s="15" t="s">
        <v>32</v>
      </c>
      <c r="F1" s="15" t="s">
        <v>34</v>
      </c>
      <c r="G1" s="15" t="s">
        <v>44</v>
      </c>
      <c r="H1" s="15" t="s">
        <v>45</v>
      </c>
      <c r="I1" s="15" t="s">
        <v>60</v>
      </c>
      <c r="J1" s="15" t="s">
        <v>61</v>
      </c>
      <c r="K1" s="15" t="s">
        <v>66</v>
      </c>
      <c r="L1" s="15" t="s">
        <v>67</v>
      </c>
      <c r="M1" s="15" t="s">
        <v>68</v>
      </c>
      <c r="N1" s="15" t="s">
        <v>69</v>
      </c>
    </row>
    <row r="2" customFormat="false" ht="15" hidden="false" customHeight="false" outlineLevel="0" collapsed="false">
      <c r="A2" s="18" t="n">
        <v>0</v>
      </c>
      <c r="B2" s="18" t="n">
        <f aca="false">A2*12</f>
        <v>0</v>
      </c>
      <c r="C2" s="19" t="n">
        <f aca="false">B2*Předpoklady!$B$4</f>
        <v>0</v>
      </c>
      <c r="D2" s="19" t="n">
        <f aca="false">IF(A2=0,0,INDEX(Měsíce!$F$2:$F$361,B2))</f>
        <v>0</v>
      </c>
      <c r="E2" s="19" t="n">
        <f aca="false">IF(A2=0,0,INDEX(Měsíce!$G$2:$G$361,B2)+INDEX(Měsíce!$I$2:$I$361,B2)+Předpoklady!$B$14)</f>
        <v>0</v>
      </c>
      <c r="F2" s="19" t="n">
        <f aca="false">IF(A2=0,0,INDEX(Měsíce!$G$2:$G$361,B2)+INDEX(Měsíce!$J$2:$J$361,B2)+Předpoklady!$B$14)</f>
        <v>0</v>
      </c>
      <c r="G2" s="19" t="n">
        <f aca="false">E2-D2</f>
        <v>0</v>
      </c>
      <c r="H2" s="19" t="n">
        <f aca="false">F2-D2</f>
        <v>0</v>
      </c>
      <c r="I2" s="19" t="n">
        <f aca="false">IF(A2=0,0,INDEX(Měsíce!$K$2:$K$361,B2))</f>
        <v>0</v>
      </c>
      <c r="J2" s="19" t="n">
        <f aca="false">IF(A2=0,0,INDEX(Měsíce!$L$2:$L$361,B2))</f>
        <v>0</v>
      </c>
      <c r="K2" s="19" t="n">
        <f aca="false">IF(A2=0,0,INDEX(Měsíce!$O$2:$O$361,B2))</f>
        <v>0</v>
      </c>
      <c r="L2" s="19" t="n">
        <f aca="false">E2-K2</f>
        <v>0</v>
      </c>
      <c r="M2" s="19" t="n">
        <f aca="false">F2-K2</f>
        <v>0</v>
      </c>
      <c r="N2" s="19" t="n">
        <f aca="false">IF(A2=0,0,INDEX(Měsíce!$P$2:$P$361,B2))</f>
        <v>0</v>
      </c>
    </row>
    <row r="3" customFormat="false" ht="15" hidden="false" customHeight="false" outlineLevel="0" collapsed="false">
      <c r="A3" s="18" t="n">
        <v>1</v>
      </c>
      <c r="B3" s="18" t="n">
        <f aca="false">A3*12</f>
        <v>12</v>
      </c>
      <c r="C3" s="19" t="n">
        <f aca="false">B3*Předpoklady!$B$4</f>
        <v>48000</v>
      </c>
      <c r="D3" s="19" t="n">
        <f aca="false">IF(A3=0,0,INDEX(Měsíce!$F$2:$F$361,B3))</f>
        <v>49637.9631901842</v>
      </c>
      <c r="E3" s="19" t="n">
        <f aca="false">IF(A3=0,0,INDEX(Měsíce!$G$2:$G$361,B3)+INDEX(Měsíce!$I$2:$I$361,B3)+Předpoklady!$B$14)</f>
        <v>56919.5005875157</v>
      </c>
      <c r="F3" s="19" t="n">
        <f aca="false">IF(A3=0,0,INDEX(Měsíce!$G$2:$G$361,B3)+INDEX(Měsíce!$J$2:$J$361,B3)+Předpoklady!$B$14)</f>
        <v>56919.5005875157</v>
      </c>
      <c r="G3" s="19" t="n">
        <f aca="false">E3-D3</f>
        <v>7281.53739733149</v>
      </c>
      <c r="H3" s="19" t="n">
        <f aca="false">F3-D3</f>
        <v>7281.53739733149</v>
      </c>
      <c r="I3" s="19" t="n">
        <f aca="false">IF(A3=0,0,INDEX(Měsíce!$K$2:$K$361,B3))</f>
        <v>159.883778439437</v>
      </c>
      <c r="J3" s="19" t="n">
        <f aca="false">IF(A3=0,0,INDEX(Měsíce!$L$2:$L$361,B3))</f>
        <v>80.0161354247323</v>
      </c>
      <c r="K3" s="19" t="n">
        <f aca="false">IF(A3=0,0,INDEX(Měsíce!$O$2:$O$361,B3))</f>
        <v>49610.817474814</v>
      </c>
      <c r="L3" s="19" t="n">
        <f aca="false">E3-K3</f>
        <v>7308.68311270174</v>
      </c>
      <c r="M3" s="19" t="n">
        <f aca="false">F3-K3</f>
        <v>7308.68311270174</v>
      </c>
      <c r="N3" s="19" t="n">
        <f aca="false">IF(A3=0,0,INDEX(Měsíce!$P$2:$P$361,B3))</f>
        <v>186.47337627469</v>
      </c>
    </row>
    <row r="4" customFormat="false" ht="15" hidden="false" customHeight="false" outlineLevel="0" collapsed="false">
      <c r="A4" s="18" t="n">
        <v>2</v>
      </c>
      <c r="B4" s="18" t="n">
        <f aca="false">A4*12</f>
        <v>24</v>
      </c>
      <c r="C4" s="19" t="n">
        <f aca="false">B4*Předpoklady!$B$4</f>
        <v>96000</v>
      </c>
      <c r="D4" s="19" t="n">
        <f aca="false">IF(A4=0,0,INDEX(Měsíce!$F$2:$F$361,B4))</f>
        <v>102432.782979285</v>
      </c>
      <c r="E4" s="19" t="n">
        <f aca="false">IF(A4=0,0,INDEX(Měsíce!$G$2:$G$361,B4)+INDEX(Měsíce!$I$2:$I$361,B4)+Předpoklady!$B$14)</f>
        <v>117159.985885946</v>
      </c>
      <c r="F4" s="19" t="n">
        <f aca="false">IF(A4=0,0,INDEX(Měsíce!$G$2:$G$361,B4)+INDEX(Měsíce!$J$2:$J$361,B4)+Předpoklady!$B$14)</f>
        <v>117477.13186325</v>
      </c>
      <c r="G4" s="19" t="n">
        <f aca="false">E4-D4</f>
        <v>14727.2029066603</v>
      </c>
      <c r="H4" s="19" t="n">
        <f aca="false">F4-D4</f>
        <v>15044.3488839647</v>
      </c>
      <c r="I4" s="19" t="n">
        <f aca="false">IF(A4=0,0,INDEX(Měsíce!$K$2:$K$361,B4))</f>
        <v>627.912553085738</v>
      </c>
      <c r="J4" s="19" t="n">
        <f aca="false">IF(A4=0,0,INDEX(Měsíce!$L$2:$L$361,B4))</f>
        <v>329.330938122363</v>
      </c>
      <c r="K4" s="19" t="n">
        <f aca="false">IF(A4=0,0,INDEX(Měsíce!$O$2:$O$361,B4))</f>
        <v>102323.997003528</v>
      </c>
      <c r="L4" s="19" t="n">
        <f aca="false">E4-K4</f>
        <v>14835.988882418</v>
      </c>
      <c r="M4" s="19" t="n">
        <f aca="false">F4-K4</f>
        <v>15153.1348597224</v>
      </c>
      <c r="N4" s="19" t="n">
        <f aca="false">IF(A4=0,0,INDEX(Měsíce!$P$2:$P$361,B4))</f>
        <v>732.086093699116</v>
      </c>
    </row>
    <row r="5" customFormat="false" ht="15" hidden="false" customHeight="false" outlineLevel="0" collapsed="false">
      <c r="A5" s="18" t="n">
        <v>3</v>
      </c>
      <c r="B5" s="18" t="n">
        <f aca="false">A5*12</f>
        <v>36</v>
      </c>
      <c r="C5" s="19" t="n">
        <f aca="false">B5*Předpoklady!$B$4</f>
        <v>144000</v>
      </c>
      <c r="D5" s="19" t="n">
        <f aca="false">IF(A5=0,0,INDEX(Měsíce!$F$2:$F$361,B5))</f>
        <v>158585.22795138</v>
      </c>
      <c r="E5" s="19" t="n">
        <f aca="false">IF(A5=0,0,INDEX(Měsíce!$G$2:$G$361,B5)+INDEX(Měsíce!$I$2:$I$361,B5)+Předpoklady!$B$14)</f>
        <v>180943.27910992</v>
      </c>
      <c r="F5" s="19" t="n">
        <f aca="false">IF(A5=0,0,INDEX(Měsíce!$G$2:$G$361,B5)+INDEX(Měsíce!$J$2:$J$361,B5)+Předpoklady!$B$14)</f>
        <v>182079.674395522</v>
      </c>
      <c r="G5" s="19" t="n">
        <f aca="false">E5-D5</f>
        <v>22358.0511585403</v>
      </c>
      <c r="H5" s="19" t="n">
        <f aca="false">F5-D5</f>
        <v>23494.4464441428</v>
      </c>
      <c r="I5" s="19" t="n">
        <f aca="false">IF(A5=0,0,INDEX(Měsíce!$K$2:$K$361,B5))</f>
        <v>1423.68361404067</v>
      </c>
      <c r="J5" s="19" t="n">
        <f aca="false">IF(A5=0,0,INDEX(Měsíce!$L$2:$L$361,B5))</f>
        <v>766.873746808518</v>
      </c>
      <c r="K5" s="19" t="n">
        <f aca="false">IF(A5=0,0,INDEX(Měsíce!$O$2:$O$361,B5))</f>
        <v>158333.541644413</v>
      </c>
      <c r="L5" s="19" t="n">
        <f aca="false">E5-K5</f>
        <v>22609.7374655069</v>
      </c>
      <c r="M5" s="19" t="n">
        <f aca="false">F5-K5</f>
        <v>23746.1327511095</v>
      </c>
      <c r="N5" s="19" t="n">
        <f aca="false">IF(A5=0,0,INDEX(Měsíce!$P$2:$P$361,B5))</f>
        <v>1659.29656599749</v>
      </c>
    </row>
    <row r="6" customFormat="false" ht="15" hidden="false" customHeight="false" outlineLevel="0" collapsed="false">
      <c r="A6" s="18" t="n">
        <v>4</v>
      </c>
      <c r="B6" s="18" t="n">
        <f aca="false">A6*12</f>
        <v>48</v>
      </c>
      <c r="C6" s="19" t="n">
        <f aca="false">B6*Předpoklady!$B$4</f>
        <v>192000</v>
      </c>
      <c r="D6" s="19" t="n">
        <f aca="false">IF(A6=0,0,INDEX(Měsíce!$F$2:$F$361,B6))</f>
        <v>218308.835095787</v>
      </c>
      <c r="E6" s="19" t="n">
        <f aca="false">IF(A6=0,0,INDEX(Měsíce!$G$2:$G$361,B6)+INDEX(Měsíce!$I$2:$I$361,B6)+Předpoklady!$B$14)</f>
        <v>248506.02002483</v>
      </c>
      <c r="F6" s="19" t="n">
        <f aca="false">IF(A6=0,0,INDEX(Měsíce!$G$2:$G$361,B6)+INDEX(Měsíce!$J$2:$J$361,B6)+Předpoklady!$B$14)</f>
        <v>250997.305645515</v>
      </c>
      <c r="G6" s="19" t="n">
        <f aca="false">E6-D6</f>
        <v>30197.1849290431</v>
      </c>
      <c r="H6" s="19" t="n">
        <f aca="false">F6-D6</f>
        <v>32688.4705497274</v>
      </c>
      <c r="I6" s="19" t="n">
        <f aca="false">IF(A6=0,0,INDEX(Měsíce!$K$2:$K$361,B6))</f>
        <v>2568.04059252482</v>
      </c>
      <c r="J6" s="19" t="n">
        <f aca="false">IF(A6=0,0,INDEX(Měsíce!$L$2:$L$361,B6))</f>
        <v>1405.21714010259</v>
      </c>
      <c r="K6" s="19" t="n">
        <f aca="false">IF(A6=0,0,INDEX(Měsíce!$O$2:$O$361,B6))</f>
        <v>217845.586239835</v>
      </c>
      <c r="L6" s="19" t="n">
        <f aca="false">E6-K6</f>
        <v>30660.4337849953</v>
      </c>
      <c r="M6" s="19" t="n">
        <f aca="false">F6-K6</f>
        <v>33151.7194056796</v>
      </c>
      <c r="N6" s="19" t="n">
        <f aca="false">IF(A6=0,0,INDEX(Měsíce!$P$2:$P$361,B6))</f>
        <v>2991.96762097293</v>
      </c>
    </row>
    <row r="7" customFormat="false" ht="15" hidden="false" customHeight="false" outlineLevel="0" collapsed="false">
      <c r="A7" s="18" t="n">
        <v>5</v>
      </c>
      <c r="B7" s="18" t="n">
        <f aca="false">A7*12</f>
        <v>60</v>
      </c>
      <c r="C7" s="19" t="n">
        <f aca="false">B7*Předpoklady!$B$4</f>
        <v>240000</v>
      </c>
      <c r="D7" s="19" t="n">
        <f aca="false">IF(A7=0,0,INDEX(Měsíce!$F$2:$F$361,B7))</f>
        <v>281830.721847329</v>
      </c>
      <c r="E7" s="19" t="n">
        <f aca="false">IF(A7=0,0,INDEX(Měsíce!$G$2:$G$361,B7)+INDEX(Měsíce!$I$2:$I$361,B7)+Předpoklady!$B$14)</f>
        <v>320100.654609598</v>
      </c>
      <c r="F7" s="19" t="n">
        <f aca="false">IF(A7=0,0,INDEX(Měsíce!$G$2:$G$361,B7)+INDEX(Měsíce!$J$2:$J$361,B7)+Předpoklady!$B$14)</f>
        <v>324518.249418544</v>
      </c>
      <c r="G7" s="19" t="n">
        <f aca="false">E7-D7</f>
        <v>38269.9327622695</v>
      </c>
      <c r="H7" s="19" t="n">
        <f aca="false">F7-D7</f>
        <v>42687.5275712147</v>
      </c>
      <c r="I7" s="19" t="n">
        <f aca="false">IF(A7=0,0,INDEX(Měsíce!$K$2:$K$361,B7))</f>
        <v>4083.15272521347</v>
      </c>
      <c r="J7" s="19" t="n">
        <f aca="false">IF(A7=0,0,INDEX(Měsíce!$L$2:$L$361,B7))</f>
        <v>2257.77347459598</v>
      </c>
      <c r="K7" s="19" t="n">
        <f aca="false">IF(A7=0,0,INDEX(Měsíce!$O$2:$O$361,B7))</f>
        <v>281079.156065043</v>
      </c>
      <c r="L7" s="19" t="n">
        <f aca="false">E7-K7</f>
        <v>39021.4985445552</v>
      </c>
      <c r="M7" s="19" t="n">
        <f aca="false">F7-K7</f>
        <v>43439.0933535004</v>
      </c>
      <c r="N7" s="19" t="n">
        <f aca="false">IF(A7=0,0,INDEX(Měsíce!$P$2:$P$361,B7))</f>
        <v>4755.45432411471</v>
      </c>
    </row>
    <row r="8" customFormat="false" ht="15" hidden="false" customHeight="false" outlineLevel="0" collapsed="false">
      <c r="A8" s="18" t="n">
        <v>6</v>
      </c>
      <c r="B8" s="18" t="n">
        <f aca="false">A8*12</f>
        <v>72</v>
      </c>
      <c r="C8" s="19" t="n">
        <f aca="false">B8*Předpoklady!$B$4</f>
        <v>288000</v>
      </c>
      <c r="D8" s="19" t="n">
        <f aca="false">IF(A8=0,0,INDEX(Měsíce!$F$2:$F$361,B8))</f>
        <v>349392.449770414</v>
      </c>
      <c r="E8" s="19" t="n">
        <f aca="false">IF(A8=0,0,INDEX(Měsíce!$G$2:$G$361,B8)+INDEX(Měsíce!$I$2:$I$361,B8)+Předpoklady!$B$14)</f>
        <v>395996.490823384</v>
      </c>
      <c r="F8" s="19" t="n">
        <f aca="false">IF(A8=0,0,INDEX(Měsíce!$G$2:$G$361,B8)+INDEX(Měsíce!$J$2:$J$361,B8)+Předpoklady!$B$14)</f>
        <v>402949.981258972</v>
      </c>
      <c r="G8" s="19" t="n">
        <f aca="false">E8-D8</f>
        <v>46604.0410529699</v>
      </c>
      <c r="H8" s="19" t="n">
        <f aca="false">F8-D8</f>
        <v>53557.5314885582</v>
      </c>
      <c r="I8" s="19" t="n">
        <f aca="false">IF(A8=0,0,INDEX(Měsíce!$K$2:$K$361,B8))</f>
        <v>5992.59915959598</v>
      </c>
      <c r="J8" s="19" t="n">
        <f aca="false">IF(A8=0,0,INDEX(Měsíce!$L$2:$L$361,B8))</f>
        <v>3338.85097732629</v>
      </c>
      <c r="K8" s="19" t="n">
        <f aca="false">IF(A8=0,0,INDEX(Měsíce!$O$2:$O$361,B8))</f>
        <v>348266.97291829</v>
      </c>
      <c r="L8" s="19" t="n">
        <f aca="false">E8-K8</f>
        <v>47729.5179050936</v>
      </c>
      <c r="M8" s="19" t="n">
        <f aca="false">F8-K8</f>
        <v>54683.008340682</v>
      </c>
      <c r="N8" s="19" t="n">
        <f aca="false">IF(A8=0,0,INDEX(Měsíce!$P$2:$P$361,B8))</f>
        <v>6976.69729416542</v>
      </c>
    </row>
    <row r="9" customFormat="false" ht="15" hidden="false" customHeight="false" outlineLevel="0" collapsed="false">
      <c r="A9" s="18" t="n">
        <v>7</v>
      </c>
      <c r="B9" s="18" t="n">
        <f aca="false">A9*12</f>
        <v>84</v>
      </c>
      <c r="C9" s="19" t="n">
        <f aca="false">B9*Předpoklady!$B$4</f>
        <v>336000</v>
      </c>
      <c r="D9" s="19" t="n">
        <f aca="false">IF(A9=0,0,INDEX(Měsíce!$F$2:$F$361,B9))</f>
        <v>421250.943171386</v>
      </c>
      <c r="E9" s="19" t="n">
        <f aca="false">IF(A9=0,0,INDEX(Měsíce!$G$2:$G$361,B9)+INDEX(Měsíce!$I$2:$I$361,B9)+Předpoklady!$B$14)</f>
        <v>476480.824891605</v>
      </c>
      <c r="F9" s="19" t="n">
        <f aca="false">IF(A9=0,0,INDEX(Měsíce!$G$2:$G$361,B9)+INDEX(Měsíce!$J$2:$J$361,B9)+Předpoklady!$B$14)</f>
        <v>486620.514358759</v>
      </c>
      <c r="G9" s="19" t="n">
        <f aca="false">E9-D9</f>
        <v>55229.8817202188</v>
      </c>
      <c r="H9" s="19" t="n">
        <f aca="false">F9-D9</f>
        <v>65369.5711873734</v>
      </c>
      <c r="I9" s="19" t="n">
        <f aca="false">IF(A9=0,0,INDEX(Měsíce!$K$2:$K$361,B9))</f>
        <v>8321.45862095588</v>
      </c>
      <c r="J9" s="19" t="n">
        <f aca="false">IF(A9=0,0,INDEX(Měsíce!$L$2:$L$361,B9))</f>
        <v>4663.71358491532</v>
      </c>
      <c r="K9" s="19" t="n">
        <f aca="false">IF(A9=0,0,INDEX(Měsíce!$O$2:$O$361,B9))</f>
        <v>419656.311618978</v>
      </c>
      <c r="L9" s="19" t="n">
        <f aca="false">E9-K9</f>
        <v>56824.5132726261</v>
      </c>
      <c r="M9" s="19" t="n">
        <f aca="false">F9-K9</f>
        <v>66964.2027397807</v>
      </c>
      <c r="N9" s="19" t="n">
        <f aca="false">IF(A9=0,0,INDEX(Měsíce!$P$2:$P$361,B9))</f>
        <v>9684.32185408238</v>
      </c>
    </row>
    <row r="10" customFormat="false" ht="15" hidden="false" customHeight="false" outlineLevel="0" collapsed="false">
      <c r="A10" s="18" t="n">
        <v>8</v>
      </c>
      <c r="B10" s="18" t="n">
        <f aca="false">A10*12</f>
        <v>96</v>
      </c>
      <c r="C10" s="19" t="n">
        <f aca="false">B10*Předpoklady!$B$4</f>
        <v>384000</v>
      </c>
      <c r="D10" s="19" t="n">
        <f aca="false">IF(A10=0,0,INDEX(Měsíce!$F$2:$F$361,B10))</f>
        <v>497679.466132433</v>
      </c>
      <c r="E10" s="19" t="n">
        <f aca="false">IF(A10=0,0,INDEX(Měsíce!$G$2:$G$361,B10)+INDEX(Měsíce!$I$2:$I$361,B10)+Předpoklady!$B$14)</f>
        <v>561860.142821574</v>
      </c>
      <c r="F10" s="19" t="n">
        <f aca="false">IF(A10=0,0,INDEX(Měsíce!$G$2:$G$361,B10)+INDEX(Měsíce!$J$2:$J$361,B10)+Předpoklady!$B$14)</f>
        <v>575879.771357519</v>
      </c>
      <c r="G10" s="19" t="n">
        <f aca="false">E10-D10</f>
        <v>64180.6766891408</v>
      </c>
      <c r="H10" s="19" t="n">
        <f aca="false">F10-D10</f>
        <v>78200.3052250858</v>
      </c>
      <c r="I10" s="19" t="n">
        <f aca="false">IF(A10=0,0,INDEX(Měsíce!$K$2:$K$361,B10))</f>
        <v>11096.4047819581</v>
      </c>
      <c r="J10" s="19" t="n">
        <f aca="false">IF(A10=0,0,INDEX(Měsíce!$L$2:$L$361,B10))</f>
        <v>6248.64477962692</v>
      </c>
      <c r="K10" s="19" t="n">
        <f aca="false">IF(A10=0,0,INDEX(Měsíce!$O$2:$O$361,B10))</f>
        <v>495509.910066051</v>
      </c>
      <c r="L10" s="19" t="n">
        <f aca="false">E10-K10</f>
        <v>66350.2327555233</v>
      </c>
      <c r="M10" s="19" t="n">
        <f aca="false">F10-K10</f>
        <v>80369.8612914683</v>
      </c>
      <c r="N10" s="19" t="n">
        <f aca="false">IF(A10=0,0,INDEX(Měsíce!$P$2:$P$361,B10))</f>
        <v>12908.7433823036</v>
      </c>
    </row>
    <row r="11" customFormat="false" ht="15" hidden="false" customHeight="false" outlineLevel="0" collapsed="false">
      <c r="A11" s="18" t="n">
        <v>9</v>
      </c>
      <c r="B11" s="18" t="n">
        <f aca="false">A11*12</f>
        <v>108</v>
      </c>
      <c r="C11" s="19" t="n">
        <f aca="false">B11*Předpoklady!$B$4</f>
        <v>432000</v>
      </c>
      <c r="D11" s="19" t="n">
        <f aca="false">IF(A11=0,0,INDEX(Měsíce!$F$2:$F$361,B11))</f>
        <v>579637.123007967</v>
      </c>
      <c r="E11" s="19" t="n">
        <f aca="false">IF(A11=0,0,INDEX(Měsíce!$G$2:$G$361,B11)+INDEX(Měsíce!$I$2:$I$361,B11)+Předpoklady!$B$14)</f>
        <v>652461.402172659</v>
      </c>
      <c r="F11" s="19" t="n">
        <f aca="false">IF(A11=0,0,INDEX(Měsíce!$G$2:$G$361,B11)+INDEX(Měsíce!$J$2:$J$361,B11)+Předpoklady!$B$14)</f>
        <v>671101.04777115</v>
      </c>
      <c r="G11" s="19" t="n">
        <f aca="false">E11-D11</f>
        <v>72824.2791646918</v>
      </c>
      <c r="H11" s="19" t="n">
        <f aca="false">F11-D11</f>
        <v>91463.9247631822</v>
      </c>
      <c r="I11" s="19" t="n">
        <f aca="false">IF(A11=0,0,INDEX(Měsíce!$K$2:$K$361,B11))</f>
        <v>13697.3502838036</v>
      </c>
      <c r="J11" s="19" t="n">
        <f aca="false">IF(A11=0,0,INDEX(Měsíce!$L$2:$L$361,B11))</f>
        <v>8111.0156893167</v>
      </c>
      <c r="K11" s="19" t="n">
        <f aca="false">IF(A11=0,0,INDEX(Měsíce!$O$2:$O$361,B11))</f>
        <v>576882.943377932</v>
      </c>
      <c r="L11" s="19" t="n">
        <f aca="false">E11-K11</f>
        <v>75578.4587947273</v>
      </c>
      <c r="M11" s="19" t="n">
        <f aca="false">F11-K11</f>
        <v>94218.1043932177</v>
      </c>
      <c r="N11" s="19" t="n">
        <f aca="false">IF(A11=0,0,INDEX(Měsíce!$P$2:$P$361,B11))</f>
        <v>15929.5000452207</v>
      </c>
    </row>
    <row r="12" customFormat="false" ht="15" hidden="false" customHeight="false" outlineLevel="0" collapsed="false">
      <c r="A12" s="18" t="n">
        <v>10</v>
      </c>
      <c r="B12" s="18" t="n">
        <f aca="false">A12*12</f>
        <v>120</v>
      </c>
      <c r="C12" s="19" t="n">
        <f aca="false">B12*Předpoklady!$B$4</f>
        <v>480000</v>
      </c>
      <c r="D12" s="19" t="n">
        <f aca="false">IF(A12=0,0,INDEX(Měsíce!$F$2:$F$361,B12))</f>
        <v>666911.806161402</v>
      </c>
      <c r="E12" s="19" t="n">
        <f aca="false">IF(A12=0,0,INDEX(Měsíce!$G$2:$G$361,B12)+INDEX(Měsíce!$I$2:$I$361,B12)+Předpoklady!$B$14)</f>
        <v>748633.399441524</v>
      </c>
      <c r="F12" s="19" t="n">
        <f aca="false">IF(A12=0,0,INDEX(Měsíce!$G$2:$G$361,B12)+INDEX(Měsíce!$J$2:$J$361,B12)+Předpoklady!$B$14)</f>
        <v>772682.573169316</v>
      </c>
      <c r="G12" s="19" t="n">
        <f aca="false">E12-D12</f>
        <v>81721.5932801222</v>
      </c>
      <c r="H12" s="19" t="n">
        <f aca="false">F12-D12</f>
        <v>105770.767007914</v>
      </c>
      <c r="I12" s="19" t="n">
        <f aca="false">IF(A12=0,0,INDEX(Měsíce!$K$2:$K$361,B12))</f>
        <v>16705.5469582312</v>
      </c>
      <c r="J12" s="19" t="n">
        <f aca="false">IF(A12=0,0,INDEX(Měsíce!$L$2:$L$361,B12))</f>
        <v>10269.3577360777</v>
      </c>
      <c r="K12" s="19" t="n">
        <f aca="false">IF(A12=0,0,INDEX(Měsíce!$O$2:$O$361,B12))</f>
        <v>663465.751335199</v>
      </c>
      <c r="L12" s="19" t="n">
        <f aca="false">E12-K12</f>
        <v>85167.6481063255</v>
      </c>
      <c r="M12" s="19" t="n">
        <f aca="false">F12-K12</f>
        <v>109216.821834118</v>
      </c>
      <c r="N12" s="19" t="n">
        <f aca="false">IF(A12=0,0,INDEX(Měsíce!$P$2:$P$361,B12))</f>
        <v>19421.8189220149</v>
      </c>
    </row>
    <row r="13" customFormat="false" ht="15" hidden="false" customHeight="false" outlineLevel="0" collapsed="false">
      <c r="A13" s="18" t="n">
        <v>11</v>
      </c>
      <c r="B13" s="18" t="n">
        <f aca="false">A13*12</f>
        <v>132</v>
      </c>
      <c r="C13" s="19" t="n">
        <f aca="false">B13*Předpoklady!$B$4</f>
        <v>528000</v>
      </c>
      <c r="D13" s="19" t="n">
        <f aca="false">IF(A13=0,0,INDEX(Měsíce!$F$2:$F$361,B13))</f>
        <v>759848.459183338</v>
      </c>
      <c r="E13" s="19" t="n">
        <f aca="false">IF(A13=0,0,INDEX(Měsíce!$G$2:$G$361,B13)+INDEX(Měsíce!$I$2:$I$361,B13)+Předpoklady!$B$14)</f>
        <v>850748.228781063</v>
      </c>
      <c r="F13" s="19" t="n">
        <f aca="false">IF(A13=0,0,INDEX(Měsíce!$G$2:$G$361,B13)+INDEX(Měsíce!$J$2:$J$361,B13)+Předpoklady!$B$14)</f>
        <v>881049.176630865</v>
      </c>
      <c r="G13" s="19" t="n">
        <f aca="false">E13-D13</f>
        <v>90899.7695977251</v>
      </c>
      <c r="H13" s="19" t="n">
        <f aca="false">F13-D13</f>
        <v>121200.717447527</v>
      </c>
      <c r="I13" s="19" t="n">
        <f aca="false">IF(A13=0,0,INDEX(Měsíce!$K$2:$K$361,B13))</f>
        <v>20147.4153407817</v>
      </c>
      <c r="J13" s="19" t="n">
        <f aca="false">IF(A13=0,0,INDEX(Měsíce!$L$2:$L$361,B13))</f>
        <v>12743.4401374096</v>
      </c>
      <c r="K13" s="19" t="n">
        <f aca="false">IF(A13=0,0,INDEX(Měsíce!$O$2:$O$361,B13))</f>
        <v>755591.881192402</v>
      </c>
      <c r="L13" s="19" t="n">
        <f aca="false">E13-K13</f>
        <v>95156.3475886608</v>
      </c>
      <c r="M13" s="19" t="n">
        <f aca="false">F13-K13</f>
        <v>125457.295438463</v>
      </c>
      <c r="N13" s="19" t="n">
        <f aca="false">IF(A13=0,0,INDEX(Měsíce!$P$2:$P$361,B13))</f>
        <v>23415.8910079778</v>
      </c>
    </row>
    <row r="14" customFormat="false" ht="15" hidden="false" customHeight="false" outlineLevel="0" collapsed="false">
      <c r="A14" s="18" t="n">
        <v>12</v>
      </c>
      <c r="B14" s="18" t="n">
        <f aca="false">A14*12</f>
        <v>144</v>
      </c>
      <c r="C14" s="19" t="n">
        <f aca="false">B14*Předpoklady!$B$4</f>
        <v>576000</v>
      </c>
      <c r="D14" s="19" t="n">
        <f aca="false">IF(A14=0,0,INDEX(Měsíce!$F$2:$F$361,B14))</f>
        <v>858814.403977832</v>
      </c>
      <c r="E14" s="19" t="n">
        <f aca="false">IF(A14=0,0,INDEX(Měsíce!$G$2:$G$361,B14)+INDEX(Měsíce!$I$2:$I$361,B14)+Předpoklady!$B$14)</f>
        <v>959202.838153606</v>
      </c>
      <c r="F14" s="19" t="n">
        <f aca="false">IF(A14=0,0,INDEX(Měsíce!$G$2:$G$361,B14)+INDEX(Měsíce!$J$2:$J$361,B14)+Předpoklady!$B$14)</f>
        <v>996654.063442345</v>
      </c>
      <c r="G14" s="19" t="n">
        <f aca="false">E14-D14</f>
        <v>100388.434175774</v>
      </c>
      <c r="H14" s="19" t="n">
        <f aca="false">F14-D14</f>
        <v>137839.659464513</v>
      </c>
      <c r="I14" s="19" t="n">
        <f aca="false">IF(A14=0,0,INDEX(Měsíce!$K$2:$K$361,B14))</f>
        <v>24051.0900067465</v>
      </c>
      <c r="J14" s="19" t="n">
        <f aca="false">IF(A14=0,0,INDEX(Měsíce!$L$2:$L$361,B14))</f>
        <v>15554.3525840323</v>
      </c>
      <c r="K14" s="19" t="n">
        <f aca="false">IF(A14=0,0,INDEX(Měsíce!$O$2:$O$361,B14))</f>
        <v>853616.235018572</v>
      </c>
      <c r="L14" s="19" t="n">
        <f aca="false">E14-K14</f>
        <v>105586.603135034</v>
      </c>
      <c r="M14" s="19" t="n">
        <f aca="false">F14-K14</f>
        <v>143037.828423773</v>
      </c>
      <c r="N14" s="19" t="n">
        <f aca="false">IF(A14=0,0,INDEX(Měsíce!$P$2:$P$361,B14))</f>
        <v>27943.8402272275</v>
      </c>
    </row>
    <row r="15" customFormat="false" ht="15" hidden="false" customHeight="false" outlineLevel="0" collapsed="false">
      <c r="A15" s="18" t="n">
        <v>13</v>
      </c>
      <c r="B15" s="18" t="n">
        <f aca="false">A15*12</f>
        <v>156</v>
      </c>
      <c r="C15" s="19" t="n">
        <f aca="false">B15*Předpoklady!$B$4</f>
        <v>624000</v>
      </c>
      <c r="D15" s="19" t="n">
        <f aca="false">IF(A15=0,0,INDEX(Měsíce!$F$2:$F$361,B15))</f>
        <v>964200.792561839</v>
      </c>
      <c r="E15" s="19" t="n">
        <f aca="false">IF(A15=0,0,INDEX(Měsíce!$G$2:$G$361,B15)+INDEX(Měsíce!$I$2:$I$361,B15)+Předpoklady!$B$14)</f>
        <v>1074420.68942646</v>
      </c>
      <c r="F15" s="19" t="n">
        <f aca="false">IF(A15=0,0,INDEX(Měsíce!$G$2:$G$361,B15)+INDEX(Měsíce!$J$2:$J$361,B15)+Předpoklady!$B$14)</f>
        <v>1119980.71047006</v>
      </c>
      <c r="G15" s="19" t="n">
        <f aca="false">E15-D15</f>
        <v>110219.896864616</v>
      </c>
      <c r="H15" s="19" t="n">
        <f aca="false">F15-D15</f>
        <v>155779.917908224</v>
      </c>
      <c r="I15" s="19" t="n">
        <f aca="false">IF(A15=0,0,INDEX(Měsíce!$K$2:$K$361,B15))</f>
        <v>28446.5307699834</v>
      </c>
      <c r="J15" s="19" t="n">
        <f aca="false">IF(A15=0,0,INDEX(Měsíce!$L$2:$L$361,B15))</f>
        <v>18724.5934401164</v>
      </c>
      <c r="K15" s="19" t="n">
        <f aca="false">IF(A15=0,0,INDEX(Měsíce!$O$2:$O$361,B15))</f>
        <v>957916.436904092</v>
      </c>
      <c r="L15" s="19" t="n">
        <f aca="false">E15-K15</f>
        <v>116504.252522363</v>
      </c>
      <c r="M15" s="19" t="n">
        <f aca="false">F15-K15</f>
        <v>162064.27356597</v>
      </c>
      <c r="N15" s="19" t="n">
        <f aca="false">IF(A15=0,0,INDEX(Měsíce!$P$2:$P$361,B15))</f>
        <v>33039.847185298</v>
      </c>
    </row>
    <row r="16" customFormat="false" ht="15" hidden="false" customHeight="false" outlineLevel="0" collapsed="false">
      <c r="A16" s="18" t="n">
        <v>14</v>
      </c>
      <c r="B16" s="18" t="n">
        <f aca="false">A16*12</f>
        <v>168</v>
      </c>
      <c r="C16" s="19" t="n">
        <f aca="false">B16*Předpoklady!$B$4</f>
        <v>672000</v>
      </c>
      <c r="D16" s="19" t="n">
        <f aca="false">IF(A16=0,0,INDEX(Měsíce!$F$2:$F$361,B16))</f>
        <v>1077379.04175536</v>
      </c>
      <c r="E16" s="19" t="n">
        <f aca="false">IF(A16=0,0,INDEX(Měsíce!$G$2:$G$361,B16)+INDEX(Měsíce!$I$2:$I$361,B16)+Předpoklady!$B$14)</f>
        <v>1196853.52935253</v>
      </c>
      <c r="F16" s="19" t="n">
        <f aca="false">IF(A16=0,0,INDEX(Měsíce!$G$2:$G$361,B16)+INDEX(Měsíce!$J$2:$J$361,B16)+Předpoklady!$B$14)</f>
        <v>1251544.88813239</v>
      </c>
      <c r="G16" s="19" t="n">
        <f aca="false">E16-D16</f>
        <v>119474.487597174</v>
      </c>
      <c r="H16" s="19" t="n">
        <f aca="false">F16-D16</f>
        <v>174165.846377039</v>
      </c>
      <c r="I16" s="19" t="n">
        <f aca="false">IF(A16=0,0,INDEX(Měsíce!$K$2:$K$361,B16))</f>
        <v>32431.8367566947</v>
      </c>
      <c r="J16" s="19" t="n">
        <f aca="false">IF(A16=0,0,INDEX(Měsíce!$L$2:$L$361,B16))</f>
        <v>22278.1638347945</v>
      </c>
      <c r="K16" s="19" t="n">
        <f aca="false">IF(A16=0,0,INDEX(Měsíce!$O$2:$O$361,B16))</f>
        <v>1069879.510532</v>
      </c>
      <c r="L16" s="19" t="n">
        <f aca="false">E16-K16</f>
        <v>126974.018820531</v>
      </c>
      <c r="M16" s="19" t="n">
        <f aca="false">F16-K16</f>
        <v>181665.377600395</v>
      </c>
      <c r="N16" s="19" t="n">
        <f aca="false">IF(A16=0,0,INDEX(Měsíce!$P$2:$P$361,B16))</f>
        <v>37774.1414922147</v>
      </c>
    </row>
    <row r="17" customFormat="false" ht="15" hidden="false" customHeight="false" outlineLevel="0" collapsed="false">
      <c r="A17" s="18" t="n">
        <v>15</v>
      </c>
      <c r="B17" s="18" t="n">
        <f aca="false">A17*12</f>
        <v>180</v>
      </c>
      <c r="C17" s="19" t="n">
        <f aca="false">B17*Předpoklady!$B$4</f>
        <v>720000</v>
      </c>
      <c r="D17" s="19" t="n">
        <f aca="false">IF(A17=0,0,INDEX(Měsíce!$F$2:$F$361,B17))</f>
        <v>1198355.53244146</v>
      </c>
      <c r="E17" s="19" t="n">
        <f aca="false">IF(A17=0,0,INDEX(Měsíce!$G$2:$G$361,B17)+INDEX(Měsíce!$I$2:$I$361,B17)+Předpoklady!$B$14)</f>
        <v>1326983.27884261</v>
      </c>
      <c r="F17" s="19" t="n">
        <f aca="false">IF(A17=0,0,INDEX(Měsíce!$G$2:$G$361,B17)+INDEX(Měsíce!$J$2:$J$361,B17)+Předpoklady!$B$14)</f>
        <v>1391896.81742854</v>
      </c>
      <c r="G17" s="19" t="n">
        <f aca="false">E17-D17</f>
        <v>128627.746401151</v>
      </c>
      <c r="H17" s="19" t="n">
        <f aca="false">F17-D17</f>
        <v>193541.284987084</v>
      </c>
      <c r="I17" s="19" t="n">
        <f aca="false">IF(A17=0,0,INDEX(Měsíce!$K$2:$K$361,B17))</f>
        <v>36545.2309283778</v>
      </c>
      <c r="J17" s="19" t="n">
        <f aca="false">IF(A17=0,0,INDEX(Měsíce!$L$2:$L$361,B17))</f>
        <v>26240.6680384611</v>
      </c>
      <c r="K17" s="19" t="n">
        <f aca="false">IF(A17=0,0,INDEX(Měsíce!$O$2:$O$361,B17))</f>
        <v>1189659.1500063</v>
      </c>
      <c r="L17" s="19" t="n">
        <f aca="false">E17-K17</f>
        <v>137324.128836313</v>
      </c>
      <c r="M17" s="19" t="n">
        <f aca="false">F17-K17</f>
        <v>202237.667422247</v>
      </c>
      <c r="N17" s="19" t="n">
        <f aca="false">IF(A17=0,0,INDEX(Měsíce!$P$2:$P$361,B17))</f>
        <v>42539.1601877979</v>
      </c>
    </row>
    <row r="18" customFormat="false" ht="15" hidden="false" customHeight="false" outlineLevel="0" collapsed="false">
      <c r="A18" s="18" t="n">
        <v>16</v>
      </c>
      <c r="B18" s="18" t="n">
        <f aca="false">A18*12</f>
        <v>192</v>
      </c>
      <c r="C18" s="19" t="n">
        <f aca="false">B18*Předpoklady!$B$4</f>
        <v>768000</v>
      </c>
      <c r="D18" s="19" t="n">
        <f aca="false">IF(A18=0,0,INDEX(Měsíce!$F$2:$F$361,B18))</f>
        <v>1327335.14416747</v>
      </c>
      <c r="E18" s="19" t="n">
        <f aca="false">IF(A18=0,0,INDEX(Měsíce!$G$2:$G$361,B18)+INDEX(Měsíce!$I$2:$I$361,B18)+Předpoklady!$B$14)</f>
        <v>1465324.04843042</v>
      </c>
      <c r="F18" s="19" t="n">
        <f aca="false">IF(A18=0,0,INDEX(Měsíce!$G$2:$G$361,B18)+INDEX(Měsíce!$J$2:$J$361,B18)+Předpoklady!$B$14)</f>
        <v>1541623.47104477</v>
      </c>
      <c r="G18" s="19" t="n">
        <f aca="false">E18-D18</f>
        <v>137988.904262954</v>
      </c>
      <c r="H18" s="19" t="n">
        <f aca="false">F18-D18</f>
        <v>214288.326877306</v>
      </c>
      <c r="I18" s="19" t="n">
        <f aca="false">IF(A18=0,0,INDEX(Měsíce!$K$2:$K$361,B18))</f>
        <v>41109.7291629077</v>
      </c>
      <c r="J18" s="19" t="n">
        <f aca="false">IF(A18=0,0,INDEX(Měsíce!$L$2:$L$361,B18))</f>
        <v>30639.4205436467</v>
      </c>
      <c r="K18" s="19" t="n">
        <f aca="false">IF(A18=0,0,INDEX(Měsíce!$O$2:$O$361,B18))</f>
        <v>1317286.10954372</v>
      </c>
      <c r="L18" s="19" t="n">
        <f aca="false">E18-K18</f>
        <v>148037.938886705</v>
      </c>
      <c r="M18" s="19" t="n">
        <f aca="false">F18-K18</f>
        <v>224337.361501056</v>
      </c>
      <c r="N18" s="19" t="n">
        <f aca="false">IF(A18=0,0,INDEX(Měsíce!$P$2:$P$361,B18))</f>
        <v>47825.1152810118</v>
      </c>
    </row>
    <row r="19" customFormat="false" ht="15" hidden="false" customHeight="false" outlineLevel="0" collapsed="false">
      <c r="A19" s="18" t="n">
        <v>17</v>
      </c>
      <c r="B19" s="18" t="n">
        <f aca="false">A19*12</f>
        <v>204</v>
      </c>
      <c r="C19" s="19" t="n">
        <f aca="false">B19*Předpoklady!$B$4</f>
        <v>816000</v>
      </c>
      <c r="D19" s="19" t="n">
        <f aca="false">IF(A19=0,0,INDEX(Měsíce!$F$2:$F$361,B19))</f>
        <v>1464847.31819933</v>
      </c>
      <c r="E19" s="19" t="n">
        <f aca="false">IF(A19=0,0,INDEX(Měsíce!$G$2:$G$361,B19)+INDEX(Měsíce!$I$2:$I$361,B19)+Předpoklady!$B$14)</f>
        <v>1612424.28835949</v>
      </c>
      <c r="F19" s="19" t="n">
        <f aca="false">IF(A19=0,0,INDEX(Měsíce!$G$2:$G$361,B19)+INDEX(Měsíce!$J$2:$J$361,B19)+Předpoklady!$B$14)</f>
        <v>1701351.02816164</v>
      </c>
      <c r="G19" s="19" t="n">
        <f aca="false">E19-D19</f>
        <v>147576.970160166</v>
      </c>
      <c r="H19" s="19" t="n">
        <f aca="false">F19-D19</f>
        <v>236503.709962315</v>
      </c>
      <c r="I19" s="19" t="n">
        <f aca="false">IF(A19=0,0,INDEX(Měsíce!$K$2:$K$361,B19))</f>
        <v>46155.1739560956</v>
      </c>
      <c r="J19" s="19" t="n">
        <f aca="false">IF(A19=0,0,INDEX(Měsíce!$L$2:$L$361,B19))</f>
        <v>35503.5602982971</v>
      </c>
      <c r="K19" s="19" t="n">
        <f aca="false">IF(A19=0,0,INDEX(Měsíce!$O$2:$O$361,B19))</f>
        <v>1453274.50349994</v>
      </c>
      <c r="L19" s="19" t="n">
        <f aca="false">E19-K19</f>
        <v>159149.784859551</v>
      </c>
      <c r="M19" s="19" t="n">
        <f aca="false">F19-K19</f>
        <v>248076.5246617</v>
      </c>
      <c r="N19" s="19" t="n">
        <f aca="false">IF(A19=0,0,INDEX(Měsíce!$P$2:$P$361,B19))</f>
        <v>53666.135732861</v>
      </c>
    </row>
    <row r="20" customFormat="false" ht="15" hidden="false" customHeight="false" outlineLevel="0" collapsed="false">
      <c r="A20" s="18" t="n">
        <v>18</v>
      </c>
      <c r="B20" s="18" t="n">
        <f aca="false">A20*12</f>
        <v>216</v>
      </c>
      <c r="C20" s="19" t="n">
        <f aca="false">B20*Předpoklady!$B$4</f>
        <v>864000</v>
      </c>
      <c r="D20" s="19" t="n">
        <f aca="false">IF(A20=0,0,INDEX(Měsíce!$F$2:$F$361,B20))</f>
        <v>1611456.52064551</v>
      </c>
      <c r="E20" s="19" t="n">
        <f aca="false">IF(A20=0,0,INDEX(Měsíce!$G$2:$G$361,B20)+INDEX(Měsíce!$I$2:$I$361,B20)+Předpoklady!$B$14)</f>
        <v>1768869.08228383</v>
      </c>
      <c r="F20" s="19" t="n">
        <f aca="false">IF(A20=0,0,INDEX(Měsíce!$G$2:$G$361,B20)+INDEX(Měsíce!$J$2:$J$361,B20)+Předpoklady!$B$14)</f>
        <v>1871747.49322868</v>
      </c>
      <c r="G20" s="19" t="n">
        <f aca="false">E20-D20</f>
        <v>157412.561638317</v>
      </c>
      <c r="H20" s="19" t="n">
        <f aca="false">F20-D20</f>
        <v>260290.972583173</v>
      </c>
      <c r="I20" s="19" t="n">
        <f aca="false">IF(A20=0,0,INDEX(Měsíce!$K$2:$K$361,B20))</f>
        <v>51713.3820146488</v>
      </c>
      <c r="J20" s="19" t="n">
        <f aca="false">IF(A20=0,0,INDEX(Měsíce!$L$2:$L$361,B20))</f>
        <v>40864.1725691962</v>
      </c>
      <c r="K20" s="19" t="n">
        <f aca="false">IF(A20=0,0,INDEX(Měsíce!$O$2:$O$361,B20))</f>
        <v>1598172.12824804</v>
      </c>
      <c r="L20" s="19" t="n">
        <f aca="false">E20-K20</f>
        <v>170696.954035789</v>
      </c>
      <c r="M20" s="19" t="n">
        <f aca="false">F20-K20</f>
        <v>273575.364980645</v>
      </c>
      <c r="N20" s="19" t="n">
        <f aca="false">IF(A20=0,0,INDEX(Měsíce!$P$2:$P$361,B20))</f>
        <v>60098.5864509732</v>
      </c>
    </row>
    <row r="21" customFormat="false" ht="15" hidden="false" customHeight="false" outlineLevel="0" collapsed="false">
      <c r="A21" s="18" t="n">
        <v>19</v>
      </c>
      <c r="B21" s="18" t="n">
        <f aca="false">A21*12</f>
        <v>228</v>
      </c>
      <c r="C21" s="19" t="n">
        <f aca="false">B21*Předpoklady!$B$4</f>
        <v>912000</v>
      </c>
      <c r="D21" s="19" t="n">
        <f aca="false">IF(A21=0,0,INDEX(Měsíce!$F$2:$F$361,B21))</f>
        <v>1767764.55950268</v>
      </c>
      <c r="E21" s="19" t="n">
        <f aca="false">IF(A21=0,0,INDEX(Měsíce!$G$2:$G$361,B21)+INDEX(Měsíce!$I$2:$I$361,B21)+Předpoklady!$B$14)</f>
        <v>1935282.59417494</v>
      </c>
      <c r="F21" s="19" t="n">
        <f aca="false">IF(A21=0,0,INDEX(Měsíce!$G$2:$G$361,B21)+INDEX(Měsíce!$J$2:$J$361,B21)+Předpoklady!$B$14)</f>
        <v>2053525.48965856</v>
      </c>
      <c r="G21" s="19" t="n">
        <f aca="false">E21-D21</f>
        <v>167518.034672262</v>
      </c>
      <c r="H21" s="19" t="n">
        <f aca="false">F21-D21</f>
        <v>285760.93015588</v>
      </c>
      <c r="I21" s="19" t="n">
        <f aca="false">IF(A21=0,0,INDEX(Měsíce!$K$2:$K$361,B21))</f>
        <v>57818.274858809</v>
      </c>
      <c r="J21" s="19" t="n">
        <f aca="false">IF(A21=0,0,INDEX(Měsíce!$L$2:$L$361,B21))</f>
        <v>46754.4189451848</v>
      </c>
      <c r="K21" s="19" t="n">
        <f aca="false">IF(A21=0,0,INDEX(Měsíce!$O$2:$O$361,B21))</f>
        <v>1752562.66884372</v>
      </c>
      <c r="L21" s="19" t="n">
        <f aca="false">E21-K21</f>
        <v>182719.925331222</v>
      </c>
      <c r="M21" s="19" t="n">
        <f aca="false">F21-K21</f>
        <v>300962.820814839</v>
      </c>
      <c r="N21" s="19" t="n">
        <f aca="false">IF(A21=0,0,INDEX(Měsíce!$P$2:$P$361,B21))</f>
        <v>67161.2147768392</v>
      </c>
    </row>
    <row r="22" customFormat="false" ht="15" hidden="false" customHeight="false" outlineLevel="0" collapsed="false">
      <c r="A22" s="18" t="n">
        <v>20</v>
      </c>
      <c r="B22" s="18" t="n">
        <f aca="false">A22*12</f>
        <v>240</v>
      </c>
      <c r="C22" s="19" t="n">
        <f aca="false">B22*Předpoklady!$B$4</f>
        <v>960000</v>
      </c>
      <c r="D22" s="19" t="n">
        <f aca="false">IF(A22=0,0,INDEX(Měsíce!$F$2:$F$361,B22))</f>
        <v>1934413.05498402</v>
      </c>
      <c r="E22" s="19" t="n">
        <f aca="false">IF(A22=0,0,INDEX(Měsíce!$G$2:$G$361,B22)+INDEX(Měsíce!$I$2:$I$361,B22)+Předpoklady!$B$14)</f>
        <v>2112330.67866863</v>
      </c>
      <c r="F22" s="19" t="n">
        <f aca="false">IF(A22=0,0,INDEX(Měsíce!$G$2:$G$361,B22)+INDEX(Měsíce!$J$2:$J$361,B22)+Předpoklady!$B$14)</f>
        <v>2247445.2401244</v>
      </c>
      <c r="G22" s="19" t="n">
        <f aca="false">E22-D22</f>
        <v>177917.623684611</v>
      </c>
      <c r="H22" s="19" t="n">
        <f aca="false">F22-D22</f>
        <v>313032.18514038</v>
      </c>
      <c r="I22" s="19" t="n">
        <f aca="false">IF(A22=0,0,INDEX(Měsíce!$K$2:$K$361,B22))</f>
        <v>64506.0180649211</v>
      </c>
      <c r="J22" s="19" t="n">
        <f aca="false">IF(A22=0,0,INDEX(Měsíce!$L$2:$L$361,B22))</f>
        <v>53209.6760238674</v>
      </c>
      <c r="K22" s="19" t="n">
        <f aca="false">IF(A22=0,0,INDEX(Měsíce!$O$2:$O$361,B22))</f>
        <v>1917068.05025951</v>
      </c>
      <c r="L22" s="19" t="n">
        <f aca="false">E22-K22</f>
        <v>195262.628409118</v>
      </c>
      <c r="M22" s="19" t="n">
        <f aca="false">F22-K22</f>
        <v>330377.189864886</v>
      </c>
      <c r="N22" s="19" t="n">
        <f aca="false">IF(A22=0,0,INDEX(Měsíce!$P$2:$P$361,B22))</f>
        <v>74895.3065701124</v>
      </c>
    </row>
    <row r="23" customFormat="false" ht="15" hidden="false" customHeight="false" outlineLevel="0" collapsed="false">
      <c r="A23" s="18" t="n">
        <v>21</v>
      </c>
      <c r="B23" s="18" t="n">
        <f aca="false">A23*12</f>
        <v>252</v>
      </c>
      <c r="C23" s="19" t="n">
        <f aca="false">B23*Předpoklady!$B$4</f>
        <v>1008000</v>
      </c>
      <c r="D23" s="19" t="n">
        <f aca="false">IF(A23=0,0,INDEX(Měsíce!$F$2:$F$361,B23))</f>
        <v>2112086.0732705</v>
      </c>
      <c r="E23" s="19" t="n">
        <f aca="false">IF(A23=0,0,INDEX(Měsíce!$G$2:$G$361,B23)+INDEX(Měsíce!$I$2:$I$361,B23)+Předpoklady!$B$14)</f>
        <v>2300723.66576826</v>
      </c>
      <c r="F23" s="19" t="n">
        <f aca="false">IF(A23=0,0,INDEX(Měsíce!$G$2:$G$361,B23)+INDEX(Měsíce!$J$2:$J$361,B23)+Předpoklady!$B$14)</f>
        <v>2454317.74592429</v>
      </c>
      <c r="G23" s="19" t="n">
        <f aca="false">E23-D23</f>
        <v>188637.592497766</v>
      </c>
      <c r="H23" s="19" t="n">
        <f aca="false">F23-D23</f>
        <v>342231.672653792</v>
      </c>
      <c r="I23" s="19" t="n">
        <f aca="false">IF(A23=0,0,INDEX(Měsíce!$K$2:$K$361,B23))</f>
        <v>71815.1697195059</v>
      </c>
      <c r="J23" s="19" t="n">
        <f aca="false">IF(A23=0,0,INDEX(Měsíce!$L$2:$L$361,B23))</f>
        <v>60267.6833618159</v>
      </c>
      <c r="K23" s="19" t="n">
        <f aca="false">IF(A23=0,0,INDEX(Měsíce!$O$2:$O$361,B23))</f>
        <v>2092350.94265915</v>
      </c>
      <c r="L23" s="19" t="n">
        <f aca="false">E23-K23</f>
        <v>208372.723109115</v>
      </c>
      <c r="M23" s="19" t="n">
        <f aca="false">F23-K23</f>
        <v>361966.803265141</v>
      </c>
      <c r="N23" s="19" t="n">
        <f aca="false">IF(A23=0,0,INDEX(Měsíce!$P$2:$P$361,B23))</f>
        <v>83344.8525187141</v>
      </c>
    </row>
    <row r="24" customFormat="false" ht="15" hidden="false" customHeight="false" outlineLevel="0" collapsed="false">
      <c r="A24" s="18" t="n">
        <v>22</v>
      </c>
      <c r="B24" s="18" t="n">
        <f aca="false">A24*12</f>
        <v>264</v>
      </c>
      <c r="C24" s="19" t="n">
        <f aca="false">B24*Předpoklady!$B$4</f>
        <v>1056000</v>
      </c>
      <c r="D24" s="19" t="n">
        <f aca="false">IF(A24=0,0,INDEX(Měsíce!$F$2:$F$361,B24))</f>
        <v>2301512.93449626</v>
      </c>
      <c r="E24" s="19" t="n">
        <f aca="false">IF(A24=0,0,INDEX(Měsíce!$G$2:$G$361,B24)+INDEX(Měsíce!$I$2:$I$361,B24)+Předpoklady!$B$14)</f>
        <v>2501219.33155075</v>
      </c>
      <c r="F24" s="19" t="n">
        <f aca="false">IF(A24=0,0,INDEX(Měsíce!$G$2:$G$361,B24)+INDEX(Měsíce!$J$2:$J$361,B24)+Předpoklady!$B$14)</f>
        <v>2675008.1787096</v>
      </c>
      <c r="G24" s="19" t="n">
        <f aca="false">E24-D24</f>
        <v>199706.397054487</v>
      </c>
      <c r="H24" s="19" t="n">
        <f aca="false">F24-D24</f>
        <v>373495.244213336</v>
      </c>
      <c r="I24" s="19" t="n">
        <f aca="false">IF(A24=0,0,INDEX(Měsíce!$K$2:$K$361,B24))</f>
        <v>79786.838694214</v>
      </c>
      <c r="J24" s="19" t="n">
        <f aca="false">IF(A24=0,0,INDEX(Měsíce!$L$2:$L$361,B24))</f>
        <v>67968.7013070198</v>
      </c>
      <c r="K24" s="19" t="n">
        <f aca="false">IF(A24=0,0,INDEX(Měsíce!$O$2:$O$361,B24))</f>
        <v>2279117.43080415</v>
      </c>
      <c r="L24" s="19" t="n">
        <f aca="false">E24-K24</f>
        <v>222101.900746597</v>
      </c>
      <c r="M24" s="19" t="n">
        <f aca="false">F24-K24</f>
        <v>395890.747905447</v>
      </c>
      <c r="N24" s="19" t="n">
        <f aca="false">IF(A24=0,0,INDEX(Měsíce!$P$2:$P$361,B24))</f>
        <v>92556.725344686</v>
      </c>
    </row>
    <row r="25" customFormat="false" ht="15" hidden="false" customHeight="false" outlineLevel="0" collapsed="false">
      <c r="A25" s="18" t="n">
        <v>23</v>
      </c>
      <c r="B25" s="18" t="n">
        <f aca="false">A25*12</f>
        <v>276</v>
      </c>
      <c r="C25" s="19" t="n">
        <f aca="false">B25*Předpoklady!$B$4</f>
        <v>1104000</v>
      </c>
      <c r="D25" s="19" t="n">
        <f aca="false">IF(A25=0,0,INDEX(Měsíce!$F$2:$F$361,B25))</f>
        <v>2503471.20649449</v>
      </c>
      <c r="E25" s="19" t="n">
        <f aca="false">IF(A25=0,0,INDEX(Měsíce!$G$2:$G$361,B25)+INDEX(Měsíce!$I$2:$I$361,B25)+Předpoklady!$B$14)</f>
        <v>2714626.06729903</v>
      </c>
      <c r="F25" s="19" t="n">
        <f aca="false">IF(A25=0,0,INDEX(Měsíce!$G$2:$G$361,B25)+INDEX(Měsíce!$J$2:$J$361,B25)+Předpoklady!$B$14)</f>
        <v>2910439.49876177</v>
      </c>
      <c r="G25" s="19" t="n">
        <f aca="false">E25-D25</f>
        <v>211154.86080454</v>
      </c>
      <c r="H25" s="19" t="n">
        <f aca="false">F25-D25</f>
        <v>406968.29226728</v>
      </c>
      <c r="I25" s="19" t="n">
        <f aca="false">IF(A25=0,0,INDEX(Měsíce!$K$2:$K$361,B25))</f>
        <v>88464.8533913566</v>
      </c>
      <c r="J25" s="19" t="n">
        <f aca="false">IF(A25=0,0,INDEX(Měsíce!$L$2:$L$361,B25))</f>
        <v>76355.6793736621</v>
      </c>
      <c r="K25" s="19" t="n">
        <f aca="false">IF(A25=0,0,INDEX(Měsíce!$O$2:$O$361,B25))</f>
        <v>2478119.85834563</v>
      </c>
      <c r="L25" s="19" t="n">
        <f aca="false">E25-K25</f>
        <v>236506.208953402</v>
      </c>
      <c r="M25" s="19" t="n">
        <f aca="false">F25-K25</f>
        <v>432319.640416142</v>
      </c>
      <c r="N25" s="19" t="n">
        <f aca="false">IF(A25=0,0,INDEX(Měsíce!$P$2:$P$361,B25))</f>
        <v>102580.868619621</v>
      </c>
    </row>
    <row r="26" customFormat="false" ht="15" hidden="false" customHeight="false" outlineLevel="0" collapsed="false">
      <c r="A26" s="18" t="n">
        <v>24</v>
      </c>
      <c r="B26" s="18" t="n">
        <f aca="false">A26*12</f>
        <v>288</v>
      </c>
      <c r="C26" s="19" t="n">
        <f aca="false">B26*Předpoklady!$B$4</f>
        <v>1152000</v>
      </c>
      <c r="D26" s="19" t="n">
        <f aca="false">IF(A26=0,0,INDEX(Měsíce!$F$2:$F$361,B26))</f>
        <v>2718789.8965925</v>
      </c>
      <c r="E26" s="19" t="n">
        <f aca="false">IF(A26=0,0,INDEX(Měsíce!$G$2:$G$361,B26)+INDEX(Měsíce!$I$2:$I$361,B26)+Předpoklady!$B$14)</f>
        <v>2941806.26031489</v>
      </c>
      <c r="F26" s="19" t="n">
        <f aca="false">IF(A26=0,0,INDEX(Měsíce!$G$2:$G$361,B26)+INDEX(Měsíce!$J$2:$J$361,B26)+Předpoklady!$B$14)</f>
        <v>3161596.31494975</v>
      </c>
      <c r="G26" s="19" t="n">
        <f aca="false">E26-D26</f>
        <v>223016.363722389</v>
      </c>
      <c r="H26" s="19" t="n">
        <f aca="false">F26-D26</f>
        <v>442806.418357254</v>
      </c>
      <c r="I26" s="19" t="n">
        <f aca="false">IF(A26=0,0,INDEX(Měsíce!$K$2:$K$361,B26))</f>
        <v>97895.9416526868</v>
      </c>
      <c r="J26" s="19" t="n">
        <f aca="false">IF(A26=0,0,INDEX(Měsíce!$L$2:$L$361,B26))</f>
        <v>85474.4358633885</v>
      </c>
      <c r="K26" s="19" t="n">
        <f aca="false">IF(A26=0,0,INDEX(Měsíce!$O$2:$O$361,B26))</f>
        <v>2690159.85845877</v>
      </c>
      <c r="L26" s="19" t="n">
        <f aca="false">E26-K26</f>
        <v>251646.401856111</v>
      </c>
      <c r="M26" s="19" t="n">
        <f aca="false">F26-K26</f>
        <v>471436.456490977</v>
      </c>
      <c r="N26" s="19" t="n">
        <f aca="false">IF(A26=0,0,INDEX(Měsíce!$P$2:$P$361,B26))</f>
        <v>113470.497950268</v>
      </c>
    </row>
    <row r="27" customFormat="false" ht="15" hidden="false" customHeight="false" outlineLevel="0" collapsed="false">
      <c r="A27" s="18" t="n">
        <v>25</v>
      </c>
      <c r="B27" s="18" t="n">
        <f aca="false">A27*12</f>
        <v>300</v>
      </c>
      <c r="C27" s="19" t="n">
        <f aca="false">B27*Předpoklady!$B$4</f>
        <v>1200000</v>
      </c>
      <c r="D27" s="19" t="n">
        <f aca="false">IF(A27=0,0,INDEX(Měsíce!$F$2:$F$361,B27))</f>
        <v>2948352.85455804</v>
      </c>
      <c r="E27" s="19" t="n">
        <f aca="false">IF(A27=0,0,INDEX(Měsíce!$G$2:$G$361,B27)+INDEX(Měsíce!$I$2:$I$361,B27)+Předpoklady!$B$14)</f>
        <v>3183679.90055119</v>
      </c>
      <c r="F27" s="19" t="n">
        <f aca="false">IF(A27=0,0,INDEX(Měsíce!$G$2:$G$361,B27)+INDEX(Měsíce!$J$2:$J$361,B27)+Předpoklady!$B$14)</f>
        <v>3429529.00251106</v>
      </c>
      <c r="G27" s="19" t="n">
        <f aca="false">E27-D27</f>
        <v>235327.045993147</v>
      </c>
      <c r="H27" s="19" t="n">
        <f aca="false">F27-D27</f>
        <v>481176.147953018</v>
      </c>
      <c r="I27" s="19" t="n">
        <f aca="false">IF(A27=0,0,INDEX(Měsíce!$K$2:$K$361,B27))</f>
        <v>108129.92256993</v>
      </c>
      <c r="J27" s="19" t="n">
        <f aca="false">IF(A27=0,0,INDEX(Měsíce!$L$2:$L$361,B27))</f>
        <v>95373.8494842738</v>
      </c>
      <c r="K27" s="19" t="n">
        <f aca="false">IF(A27=0,0,INDEX(Měsíce!$O$2:$O$361,B27))</f>
        <v>2916091.58302839</v>
      </c>
      <c r="L27" s="19" t="n">
        <f aca="false">E27-K27</f>
        <v>267588.317522801</v>
      </c>
      <c r="M27" s="19" t="n">
        <f aca="false">F27-K27</f>
        <v>513437.419482671</v>
      </c>
      <c r="N27" s="19" t="n">
        <f aca="false">IF(A27=0,0,INDEX(Měsíce!$P$2:$P$361,B27))</f>
        <v>125282.315344742</v>
      </c>
    </row>
    <row r="28" customFormat="false" ht="15" hidden="false" customHeight="false" outlineLevel="0" collapsed="false">
      <c r="A28" s="18" t="n">
        <v>26</v>
      </c>
      <c r="B28" s="18" t="n">
        <f aca="false">A28*12</f>
        <v>312</v>
      </c>
      <c r="C28" s="19" t="n">
        <f aca="false">B28*Předpoklady!$B$4</f>
        <v>1248000</v>
      </c>
      <c r="D28" s="19" t="n">
        <f aca="false">IF(A28=0,0,INDEX(Měsíce!$F$2:$F$361,B28))</f>
        <v>3193102.40066527</v>
      </c>
      <c r="E28" s="19" t="n">
        <f aca="false">IF(A28=0,0,INDEX(Měsíce!$G$2:$G$361,B28)+INDEX(Měsíce!$I$2:$I$361,B28)+Předpoklady!$B$14)</f>
        <v>3441228.42814698</v>
      </c>
      <c r="F28" s="19" t="n">
        <f aca="false">IF(A28=0,0,INDEX(Měsíce!$G$2:$G$361,B28)+INDEX(Měsíce!$J$2:$J$361,B28)+Předpoklady!$B$14)</f>
        <v>3715358.09587755</v>
      </c>
      <c r="G28" s="19" t="n">
        <f aca="false">E28-D28</f>
        <v>248126.027481714</v>
      </c>
      <c r="H28" s="19" t="n">
        <f aca="false">F28-D28</f>
        <v>522255.695212285</v>
      </c>
      <c r="I28" s="19" t="n">
        <f aca="false">IF(A28=0,0,INDEX(Měsíce!$K$2:$K$361,B28))</f>
        <v>119219.910984417</v>
      </c>
      <c r="J28" s="19" t="n">
        <f aca="false">IF(A28=0,0,INDEX(Měsíce!$L$2:$L$361,B28))</f>
        <v>106106.063768864</v>
      </c>
      <c r="K28" s="19" t="n">
        <f aca="false">IF(A28=0,0,INDEX(Měsíce!$O$2:$O$361,B28))</f>
        <v>3156825.14339323</v>
      </c>
      <c r="L28" s="19" t="n">
        <f aca="false">E28-K28</f>
        <v>284403.284753754</v>
      </c>
      <c r="M28" s="19" t="n">
        <f aca="false">F28-K28</f>
        <v>558532.952484325</v>
      </c>
      <c r="N28" s="19" t="n">
        <f aca="false">IF(A28=0,0,INDEX(Měsíce!$P$2:$P$361,B28))</f>
        <v>138076.737622853</v>
      </c>
    </row>
    <row r="29" customFormat="false" ht="15" hidden="false" customHeight="false" outlineLevel="0" collapsed="false">
      <c r="A29" s="18" t="n">
        <v>27</v>
      </c>
      <c r="B29" s="18" t="n">
        <f aca="false">A29*12</f>
        <v>324</v>
      </c>
      <c r="C29" s="19" t="n">
        <f aca="false">B29*Předpoklady!$B$4</f>
        <v>1296000</v>
      </c>
      <c r="D29" s="19" t="n">
        <f aca="false">IF(A29=0,0,INDEX(Měsíce!$F$2:$F$361,B29))</f>
        <v>3454043.19377303</v>
      </c>
      <c r="E29" s="19" t="n">
        <f aca="false">IF(A29=0,0,INDEX(Měsíce!$G$2:$G$361,B29)+INDEX(Měsíce!$I$2:$I$361,B29)+Předpoklady!$B$14)</f>
        <v>3715498.83795642</v>
      </c>
      <c r="F29" s="19" t="n">
        <f aca="false">IF(A29=0,0,INDEX(Měsíce!$G$2:$G$361,B29)+INDEX(Měsíce!$J$2:$J$361,B29)+Předpoklady!$B$14)</f>
        <v>4020278.97491743</v>
      </c>
      <c r="G29" s="19" t="n">
        <f aca="false">E29-D29</f>
        <v>261455.644183387</v>
      </c>
      <c r="H29" s="19" t="n">
        <f aca="false">F29-D29</f>
        <v>566235.781144402</v>
      </c>
      <c r="I29" s="19" t="n">
        <f aca="false">IF(A29=0,0,INDEX(Měsíce!$K$2:$K$361,B29))</f>
        <v>131222.535515248</v>
      </c>
      <c r="J29" s="19" t="n">
        <f aca="false">IF(A29=0,0,INDEX(Měsíce!$L$2:$L$361,B29))</f>
        <v>117726.7051462</v>
      </c>
      <c r="K29" s="19" t="n">
        <f aca="false">IF(A29=0,0,INDEX(Měsíce!$O$2:$O$361,B29))</f>
        <v>3413330.27650956</v>
      </c>
      <c r="L29" s="19" t="n">
        <f aca="false">E29-K29</f>
        <v>302168.561446853</v>
      </c>
      <c r="M29" s="19" t="n">
        <f aca="false">F29-K29</f>
        <v>606948.698407868</v>
      </c>
      <c r="N29" s="19" t="n">
        <f aca="false">IF(A29=0,0,INDEX(Měsíce!$P$2:$P$361,B29))</f>
        <v>151918.139790666</v>
      </c>
    </row>
    <row r="30" customFormat="false" ht="15" hidden="false" customHeight="false" outlineLevel="0" collapsed="false">
      <c r="A30" s="18" t="n">
        <v>28</v>
      </c>
      <c r="B30" s="18" t="n">
        <f aca="false">A30*12</f>
        <v>336</v>
      </c>
      <c r="C30" s="19" t="n">
        <f aca="false">B30*Předpoklady!$B$4</f>
        <v>1344000</v>
      </c>
      <c r="D30" s="19" t="n">
        <f aca="false">IF(A30=0,0,INDEX(Měsíce!$F$2:$F$361,B30))</f>
        <v>3732246.35529341</v>
      </c>
      <c r="E30" s="19" t="n">
        <f aca="false">IF(A30=0,0,INDEX(Měsíce!$G$2:$G$361,B30)+INDEX(Měsíce!$I$2:$I$361,B30)+Předpoklady!$B$14)</f>
        <v>4007608.05823728</v>
      </c>
      <c r="F30" s="19" t="n">
        <f aca="false">IF(A30=0,0,INDEX(Měsíce!$G$2:$G$361,B30)+INDEX(Měsíce!$J$2:$J$361,B30)+Předpoklady!$B$14)</f>
        <v>4345566.86419201</v>
      </c>
      <c r="G30" s="19" t="n">
        <f aca="false">E30-D30</f>
        <v>275361.702943869</v>
      </c>
      <c r="H30" s="19" t="n">
        <f aca="false">F30-D30</f>
        <v>613320.508898596</v>
      </c>
      <c r="I30" s="19" t="n">
        <f aca="false">IF(A30=0,0,INDEX(Měsíce!$K$2:$K$361,B30))</f>
        <v>144198.171010985</v>
      </c>
      <c r="J30" s="19" t="n">
        <f aca="false">IF(A30=0,0,INDEX(Měsíce!$L$2:$L$361,B30))</f>
        <v>130295.115579835</v>
      </c>
      <c r="K30" s="19" t="n">
        <f aca="false">IF(A30=0,0,INDEX(Měsíce!$O$2:$O$361,B30))</f>
        <v>3686640.25130209</v>
      </c>
      <c r="L30" s="19" t="n">
        <f aca="false">E30-K30</f>
        <v>320967.80693519</v>
      </c>
      <c r="M30" s="19" t="n">
        <f aca="false">F30-K30</f>
        <v>658926.612889918</v>
      </c>
      <c r="N30" s="19" t="n">
        <f aca="false">IF(A30=0,0,INDEX(Měsíce!$P$2:$P$361,B30))</f>
        <v>166875.114359647</v>
      </c>
    </row>
    <row r="31" customFormat="false" ht="15" hidden="false" customHeight="false" outlineLevel="0" collapsed="false">
      <c r="A31" s="18" t="n">
        <v>29</v>
      </c>
      <c r="B31" s="18" t="n">
        <f aca="false">A31*12</f>
        <v>348</v>
      </c>
      <c r="C31" s="19" t="n">
        <f aca="false">B31*Předpoklady!$B$4</f>
        <v>1392000</v>
      </c>
      <c r="D31" s="19" t="n">
        <f aca="false">IF(A31=0,0,INDEX(Měsíce!$F$2:$F$361,B31))</f>
        <v>4028853.86597868</v>
      </c>
      <c r="E31" s="19" t="n">
        <f aca="false">IF(A31=0,0,INDEX(Měsíce!$G$2:$G$361,B31)+INDEX(Měsíce!$I$2:$I$361,B31)+Předpoklady!$B$14)</f>
        <v>4318747.62181143</v>
      </c>
      <c r="F31" s="19" t="n">
        <f aca="false">IF(A31=0,0,INDEX(Měsíce!$G$2:$G$361,B31)+INDEX(Měsíce!$J$2:$J$361,B31)+Předpoklady!$B$14)</f>
        <v>4692582.16613488</v>
      </c>
      <c r="G31" s="19" t="n">
        <f aca="false">E31-D31</f>
        <v>289893.755832746</v>
      </c>
      <c r="H31" s="19" t="n">
        <f aca="false">F31-D31</f>
        <v>663728.300156193</v>
      </c>
      <c r="I31" s="19" t="n">
        <f aca="false">IF(A31=0,0,INDEX(Měsíce!$K$2:$K$361,B31))</f>
        <v>158211.186379017</v>
      </c>
      <c r="J31" s="19" t="n">
        <f aca="false">IF(A31=0,0,INDEX(Měsíce!$L$2:$L$361,B31))</f>
        <v>143874.600744772</v>
      </c>
      <c r="K31" s="19" t="n">
        <f aca="false">IF(A31=0,0,INDEX(Měsíce!$O$2:$O$361,B31))</f>
        <v>3977856.03093801</v>
      </c>
      <c r="L31" s="19" t="n">
        <f aca="false">E31-K31</f>
        <v>340891.590873416</v>
      </c>
      <c r="M31" s="19" t="n">
        <f aca="false">F31-K31</f>
        <v>714726.135196863</v>
      </c>
      <c r="N31" s="19" t="n">
        <f aca="false">IF(A31=0,0,INDEX(Měsíce!$P$2:$P$361,B31))</f>
        <v>183020.747655019</v>
      </c>
    </row>
    <row r="32" customFormat="false" ht="15" hidden="false" customHeight="false" outlineLevel="0" collapsed="false">
      <c r="A32" s="18" t="n">
        <v>30</v>
      </c>
      <c r="B32" s="18" t="n">
        <f aca="false">A32*12</f>
        <v>360</v>
      </c>
      <c r="C32" s="19" t="n">
        <f aca="false">B32*Předpoklady!$B$4</f>
        <v>1440000</v>
      </c>
      <c r="D32" s="19" t="n">
        <f aca="false">IF(A32=0,0,INDEX(Měsíce!$F$2:$F$361,B32))</f>
        <v>4345083.25357488</v>
      </c>
      <c r="E32" s="19" t="n">
        <f aca="false">IF(A32=0,0,INDEX(Měsíce!$G$2:$G$361,B32)+INDEX(Měsíce!$I$2:$I$361,B32)+Předpoklady!$B$14)</f>
        <v>4650188.64923265</v>
      </c>
      <c r="F32" s="19" t="n">
        <f aca="false">IF(A32=0,0,INDEX(Měsíce!$G$2:$G$361,B32)+INDEX(Měsíce!$J$2:$J$361,B32)+Předpoklady!$B$14)</f>
        <v>5062776.15045765</v>
      </c>
      <c r="G32" s="19" t="n">
        <f aca="false">E32-D32</f>
        <v>305105.395657768</v>
      </c>
      <c r="H32" s="19" t="n">
        <f aca="false">F32-D32</f>
        <v>717692.896882772</v>
      </c>
      <c r="I32" s="19" t="n">
        <f aca="false">IF(A32=0,0,INDEX(Měsíce!$K$2:$K$361,B32))</f>
        <v>173330.208809927</v>
      </c>
      <c r="J32" s="19" t="n">
        <f aca="false">IF(A32=0,0,INDEX(Měsíce!$L$2:$L$361,B32))</f>
        <v>158532.694781229</v>
      </c>
      <c r="K32" s="19" t="n">
        <f aca="false">IF(A32=0,0,INDEX(Měsíce!$O$2:$O$361,B32))</f>
        <v>4288150.70779106</v>
      </c>
      <c r="L32" s="19" t="n">
        <f aca="false">E32-K32</f>
        <v>362037.941441589</v>
      </c>
      <c r="M32" s="19" t="n">
        <f aca="false">F32-K32</f>
        <v>774625.442666594</v>
      </c>
      <c r="N32" s="19" t="n">
        <f aca="false">IF(A32=0,0,INDEX(Měsíce!$P$2:$P$361,B32))</f>
        <v>200432.914226351</v>
      </c>
    </row>
    <row r="34" customFormat="false" ht="15" hidden="false" customHeight="false" outlineLevel="0" collapsed="false">
      <c r="A34" s="5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2026-10-22T12:46:06Z</dcterms:created>
  <dc:creator>openpyxl</dc:creator>
  <dc:description/>
  <dc:language>en-US</dc:language>
  <cp:lastModifiedBy/>
  <dcterms:modified xsi:type="dcterms:W3CDTF">2026-10-22T12:46:06Z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