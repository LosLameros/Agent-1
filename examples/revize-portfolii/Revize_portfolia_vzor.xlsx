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oodandcompany-my.sharepoint.com/personal/marek_pokorny_portu_cz/Documents/Desktop/"/>
    </mc:Choice>
  </mc:AlternateContent>
  <xr:revisionPtr revIDLastSave="0" documentId="8_{57C1B668-358D-431A-86C8-164178BE0DBB}" xr6:coauthVersionLast="47" xr6:coauthVersionMax="47" xr10:uidLastSave="{00000000-0000-0000-0000-000000000000}"/>
  <bookViews>
    <workbookView xWindow="10" yWindow="10" windowWidth="19180" windowHeight="11260" tabRatio="500" xr2:uid="{00000000-000D-0000-FFFF-FFFF00000000}"/>
  </bookViews>
  <sheets>
    <sheet name="Přehled" sheetId="1" r:id="rId1"/>
    <sheet name="Detail" sheetId="2" r:id="rId2"/>
    <sheet name="Překryvy" sheetId="3" r:id="rId3"/>
    <sheet name="Kurzy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3" l="1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E73" i="2"/>
  <c r="G73" i="2" s="1"/>
  <c r="E72" i="2"/>
  <c r="G72" i="2" s="1"/>
  <c r="E71" i="2"/>
  <c r="G71" i="2" s="1"/>
  <c r="E70" i="2"/>
  <c r="G70" i="2" s="1"/>
  <c r="E69" i="2"/>
  <c r="G69" i="2" s="1"/>
  <c r="E68" i="2"/>
  <c r="G68" i="2" s="1"/>
  <c r="E67" i="2"/>
  <c r="G67" i="2" s="1"/>
  <c r="E66" i="2"/>
  <c r="G66" i="2" s="1"/>
  <c r="E65" i="2"/>
  <c r="G65" i="2" s="1"/>
  <c r="E64" i="2"/>
  <c r="G64" i="2" s="1"/>
  <c r="E63" i="2"/>
  <c r="G63" i="2" s="1"/>
  <c r="E62" i="2"/>
  <c r="G62" i="2" s="1"/>
  <c r="E61" i="2"/>
  <c r="G61" i="2" s="1"/>
  <c r="E60" i="2"/>
  <c r="G60" i="2" s="1"/>
  <c r="E59" i="2"/>
  <c r="G59" i="2" s="1"/>
  <c r="E58" i="2"/>
  <c r="G58" i="2" s="1"/>
  <c r="E57" i="2"/>
  <c r="G57" i="2" s="1"/>
  <c r="E56" i="2"/>
  <c r="G56" i="2" s="1"/>
  <c r="E55" i="2"/>
  <c r="G55" i="2" s="1"/>
  <c r="E54" i="2"/>
  <c r="G54" i="2" s="1"/>
  <c r="E53" i="2"/>
  <c r="G53" i="2" s="1"/>
  <c r="E52" i="2"/>
  <c r="G52" i="2" s="1"/>
  <c r="E51" i="2"/>
  <c r="G51" i="2" s="1"/>
  <c r="E50" i="2"/>
  <c r="G50" i="2" s="1"/>
  <c r="E49" i="2"/>
  <c r="G49" i="2" s="1"/>
  <c r="E48" i="2"/>
  <c r="G48" i="2" s="1"/>
  <c r="E47" i="2"/>
  <c r="G47" i="2" s="1"/>
  <c r="E46" i="2"/>
  <c r="G46" i="2" s="1"/>
  <c r="E45" i="2"/>
  <c r="G45" i="2" s="1"/>
  <c r="E44" i="2"/>
  <c r="G44" i="2" s="1"/>
  <c r="E43" i="2"/>
  <c r="G43" i="2" s="1"/>
  <c r="E42" i="2"/>
  <c r="G42" i="2" s="1"/>
  <c r="E41" i="2"/>
  <c r="G41" i="2" s="1"/>
  <c r="E40" i="2"/>
  <c r="G40" i="2" s="1"/>
  <c r="E39" i="2"/>
  <c r="G39" i="2" s="1"/>
  <c r="E38" i="2"/>
  <c r="G38" i="2" s="1"/>
  <c r="E37" i="2"/>
  <c r="G37" i="2" s="1"/>
  <c r="E36" i="2"/>
  <c r="G36" i="2" s="1"/>
  <c r="E35" i="2"/>
  <c r="G35" i="2" s="1"/>
  <c r="E34" i="2"/>
  <c r="G34" i="2" s="1"/>
  <c r="E33" i="2"/>
  <c r="G33" i="2" s="1"/>
  <c r="E32" i="2"/>
  <c r="G32" i="2" s="1"/>
  <c r="E31" i="2"/>
  <c r="G31" i="2" s="1"/>
  <c r="E30" i="2"/>
  <c r="G30" i="2" s="1"/>
  <c r="E29" i="2"/>
  <c r="G29" i="2" s="1"/>
  <c r="E28" i="2"/>
  <c r="G28" i="2" s="1"/>
  <c r="E27" i="2"/>
  <c r="G27" i="2" s="1"/>
  <c r="E26" i="2"/>
  <c r="G26" i="2" s="1"/>
  <c r="E25" i="2"/>
  <c r="G25" i="2" s="1"/>
  <c r="E24" i="2"/>
  <c r="E23" i="2"/>
  <c r="G23" i="2" s="1"/>
  <c r="E22" i="2"/>
  <c r="G22" i="2" s="1"/>
  <c r="E21" i="2"/>
  <c r="G21" i="2" s="1"/>
  <c r="E20" i="2"/>
  <c r="G20" i="2" s="1"/>
  <c r="E19" i="2"/>
  <c r="G19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19" i="1"/>
  <c r="G24" i="2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F19" i="1" l="1"/>
  <c r="C20" i="3"/>
  <c r="D20" i="3" s="1"/>
</calcChain>
</file>

<file path=xl/sharedStrings.xml><?xml version="1.0" encoding="utf-8"?>
<sst xmlns="http://schemas.openxmlformats.org/spreadsheetml/2006/main" count="316" uniqueCount="143">
  <si>
    <t>Portu – přehled všech portfolií a přímých pozic (přepočet k 21.7.2026)</t>
  </si>
  <si>
    <t>Kurzy: 1 USD = 21,20 Kč, 1 EUR = 24,19 Kč (zadáno klientem). Setříděno od nejvyšší hodnoty. Desetinná tečka; % na 1 des. místo.</t>
  </si>
  <si>
    <t>Portfolio</t>
  </si>
  <si>
    <t>Instrument (název + ticker/ISIN)</t>
  </si>
  <si>
    <t>Původní měna</t>
  </si>
  <si>
    <t>Hodnota (pův. měna)</t>
  </si>
  <si>
    <t>Hodnota v CZK</t>
  </si>
  <si>
    <t>Podíl na celku</t>
  </si>
  <si>
    <t>WOOD realitní fond 1</t>
  </si>
  <si>
    <t>CZK</t>
  </si>
  <si>
    <t>Investiční rezerva 3</t>
  </si>
  <si>
    <t>Technologický pokrok</t>
  </si>
  <si>
    <t>Víra v hodnotu</t>
  </si>
  <si>
    <t>Investiční rezerva 2</t>
  </si>
  <si>
    <t>Druhá strategie M</t>
  </si>
  <si>
    <t>Třetí strategie</t>
  </si>
  <si>
    <t>Čtvrtá strategie</t>
  </si>
  <si>
    <t>Moje první portfolio</t>
  </si>
  <si>
    <t>DOOSAN Škoda Power</t>
  </si>
  <si>
    <t>DSPW CP · 191 ks (Moje instrumenty)</t>
  </si>
  <si>
    <t>Investiční rezerva 1</t>
  </si>
  <si>
    <t>1. J&amp;T WOOD Defense – OPF</t>
  </si>
  <si>
    <t>První Crypto investice</t>
  </si>
  <si>
    <t>Czechoslovak Group (CSG)</t>
  </si>
  <si>
    <t>CSG NA · 90 ks (Moje instrumenty)</t>
  </si>
  <si>
    <t>EUR</t>
  </si>
  <si>
    <t>CELKEM</t>
  </si>
  <si>
    <t>Zeleně = MANTINELY (nedotýkat se; do součtu a % se ale počítají): realitní fond a Investiční rezervy 1–3.</t>
  </si>
  <si>
    <t>Sekce Moje oblibene na printscreenu (Alphabet, Amazon, Caterpillar, iShares Automation&amp;Robotics, iShares Bitcoin ETP, Komercni banka, WisdomTree AI) je WATCHLIST, ne drzene pozice - nezapocitano.</t>
  </si>
  <si>
    <t>POZOR: zobrazeny jen složky viditelné na printscreenech. Každé portfolio má i další nezobrazené složky (cca 2–3 %), proto součet složek &lt; celková hodnota portfolia (viz list Prehled). Hodnoty složek jsou vnitřní podíly portfolia – NEsčítají se do celku znovu, celkovou hodnotu drží list Prehled.</t>
  </si>
  <si>
    <t>Instrument / složka</t>
  </si>
  <si>
    <t>Zastoupení v portfoliu</t>
  </si>
  <si>
    <t>Americké akcie (S&amp;P 500)</t>
  </si>
  <si>
    <t>USD</t>
  </si>
  <si>
    <t>Globální akcie malých společností</t>
  </si>
  <si>
    <t>Evropské akcie</t>
  </si>
  <si>
    <t>Krátkodobé US treasuries (1-3 roky)</t>
  </si>
  <si>
    <t>Japonské akcie – EUR hgd</t>
  </si>
  <si>
    <t>Nemovitostní společnosti (globální)</t>
  </si>
  <si>
    <t>Asijské akcie</t>
  </si>
  <si>
    <t>Akcie rozvojových zemí</t>
  </si>
  <si>
    <t>Globální inflačně vázané dluhopisy</t>
  </si>
  <si>
    <t>IT sektor (USA)</t>
  </si>
  <si>
    <t>Automatizace a robotika</t>
  </si>
  <si>
    <t>Polovodiče</t>
  </si>
  <si>
    <t>Krátkodobé US treasuries (0-1 rok)</t>
  </si>
  <si>
    <t>3M</t>
  </si>
  <si>
    <t>Paměťové čipy</t>
  </si>
  <si>
    <t>Elektromobilita</t>
  </si>
  <si>
    <t>Kybernetická bezpečnost</t>
  </si>
  <si>
    <t>Pfizer</t>
  </si>
  <si>
    <t>Biotechnologie a farmacie (USA)</t>
  </si>
  <si>
    <t>Starbucks</t>
  </si>
  <si>
    <t>Americké akcie "wide moat" (ESG)</t>
  </si>
  <si>
    <t>Dividendové akcie (rozvoj. země)</t>
  </si>
  <si>
    <t>Globální dividendové akcie</t>
  </si>
  <si>
    <t>Britské akcie (top 100)</t>
  </si>
  <si>
    <t>Evropské akcie (top 50)</t>
  </si>
  <si>
    <t>Finanční sektor (USA)</t>
  </si>
  <si>
    <t>Private equity společnosti</t>
  </si>
  <si>
    <t>Amazon</t>
  </si>
  <si>
    <t>Komodity (CMCI)</t>
  </si>
  <si>
    <t>Colt</t>
  </si>
  <si>
    <t>Johnson &amp; Johnson</t>
  </si>
  <si>
    <t>Verizon</t>
  </si>
  <si>
    <t>Coca-Cola</t>
  </si>
  <si>
    <t>IBM</t>
  </si>
  <si>
    <t>Apple</t>
  </si>
  <si>
    <t>P&amp;G</t>
  </si>
  <si>
    <t>Komerční banka</t>
  </si>
  <si>
    <t>Microsoft</t>
  </si>
  <si>
    <t>Nike</t>
  </si>
  <si>
    <t>Letecký a obranný průmysl</t>
  </si>
  <si>
    <t>Bitcoin (BTC)</t>
  </si>
  <si>
    <t>Kryptoměny 2050</t>
  </si>
  <si>
    <t>VanEck Bitcoin (BTC)</t>
  </si>
  <si>
    <t>Ethereum (ETH)</t>
  </si>
  <si>
    <t>Solana (SOL)</t>
  </si>
  <si>
    <t>Tezos (XTZ)</t>
  </si>
  <si>
    <t>Polkadot (DOT)</t>
  </si>
  <si>
    <t>Intel</t>
  </si>
  <si>
    <t>Obrana a kyberbezpečnost (NATO)</t>
  </si>
  <si>
    <t>Vodíkové hospodářství</t>
  </si>
  <si>
    <t>eSports a gaming</t>
  </si>
  <si>
    <t>Globální High Yield dluhopisy</t>
  </si>
  <si>
    <t>Globální akcie – momentum</t>
  </si>
  <si>
    <t>Čínské akcie</t>
  </si>
  <si>
    <t>AMD</t>
  </si>
  <si>
    <t>Umělá inteligence (AI) &amp; Big Data</t>
  </si>
  <si>
    <t>Berkshire Hathaway</t>
  </si>
  <si>
    <t>Energetický průmysl</t>
  </si>
  <si>
    <t>ExxonMobil</t>
  </si>
  <si>
    <t>Evropské akcie – multifaktor</t>
  </si>
  <si>
    <t>Indické akcie</t>
  </si>
  <si>
    <t>Žlutě = složka, která se objevuje i v jiném portfoliu / jako přímá pozice (překryv – viz list Prekryvy).</t>
  </si>
  <si>
    <t>Překryvy a duplicitní expozice napříč portfolii</t>
  </si>
  <si>
    <t>Instrument / expozice</t>
  </si>
  <si>
    <t>Ve kterých portfoliích (počet)</t>
  </si>
  <si>
    <t>Hodnota v CZK (součet)</t>
  </si>
  <si>
    <t>Colt (zbrojní akcie) – DUPLICITA</t>
  </si>
  <si>
    <t>Čtvrtá strategie + Třetí strategie (2×)</t>
  </si>
  <si>
    <t>Czechoslovak Group (CSG) – DUPLICITA</t>
  </si>
  <si>
    <t>Moje instrumenty (přímo) + První Crypto investice (2×)</t>
  </si>
  <si>
    <t>Americké akcie (S&amp;P 500) – DUPLICITA</t>
  </si>
  <si>
    <t>Moje první portfolio + Druhá strategie M (2×)</t>
  </si>
  <si>
    <t>Krátkodobé US treasuries – VÍCENÁSOBNÝ PŘEKRYV</t>
  </si>
  <si>
    <t>Moje první + Technologický + Víra v hodnotu + Třetí + Druhá (5×)</t>
  </si>
  <si>
    <t>Evropské akcie (podobná expozice)</t>
  </si>
  <si>
    <t>Moje první + Víra v hodnotu (top50) + Třetí + Druhá (multifaktor) (4×)</t>
  </si>
  <si>
    <t>Třetí strategie + Druhá strategie M (2×)</t>
  </si>
  <si>
    <t>Bitcoin – dvojí expozice v jednom portfoliu</t>
  </si>
  <si>
    <t>První Crypto investice: přímý BTC + VanEck BTC ETP</t>
  </si>
  <si>
    <t>TEMATICKÁ KONCENTRACE – obrana / zbrojení (napříč vším)</t>
  </si>
  <si>
    <t xml:space="preserve">   DOOSAN Škoda Power (přímo)</t>
  </si>
  <si>
    <t>Moje instrumenty</t>
  </si>
  <si>
    <t xml:space="preserve">   Colt (2×)</t>
  </si>
  <si>
    <t>Čtvrtá + Třetí strategie</t>
  </si>
  <si>
    <t xml:space="preserve">   Czechoslovak Group (2×)</t>
  </si>
  <si>
    <t>Přímo + První Crypto</t>
  </si>
  <si>
    <t xml:space="preserve">   1. J&amp;T WOOD Defense – OPF</t>
  </si>
  <si>
    <t>Fond</t>
  </si>
  <si>
    <t xml:space="preserve">   Letecký a obranný průmysl</t>
  </si>
  <si>
    <t xml:space="preserve">   Obrana a kyberbezpečnost (NATO)</t>
  </si>
  <si>
    <t>Obranný blok CELKEM</t>
  </si>
  <si>
    <t>Pozn.: Watchlist Moje oblibene obsahuje i Amazon (drzen ve Vira v hodnotu) a Komercni banku (drzena ve Ctvrta strategie) - jde jen o sledovane, ne dalsi pozice.</t>
  </si>
  <si>
    <t>Pozn.: Tech/AI motiv se prolíná napříč Technologický pokrok, Druhá strategie M (AI &amp; Big Data) a watchlistem (iShares Automation&amp;Robotics, WisdomTree AI) – podobná, ne identická expozice.</t>
  </si>
  <si>
    <t>Přepočet měn – použité kurzy</t>
  </si>
  <si>
    <t>Datum</t>
  </si>
  <si>
    <t>21. 7. 2026</t>
  </si>
  <si>
    <t>1 USD =</t>
  </si>
  <si>
    <t>1 EUR =</t>
  </si>
  <si>
    <t>Měna přepočtu</t>
  </si>
  <si>
    <t>Zdroj</t>
  </si>
  <si>
    <t>Pozn.: Hodnoty portfolií Portu jsou vykazovány v Kč; přepočet se týká jen složek a přímých pozic vedených v USD/EUR.</t>
  </si>
  <si>
    <t>Orientačně odpovídá kurzu ČNB/trhu k 21.7.2026 (dolar ~21,2 Kč, euro ~24,2 Kč).</t>
  </si>
  <si>
    <t>Detail viditelných složek portfolií</t>
  </si>
  <si>
    <t>Realitní fond</t>
  </si>
  <si>
    <t>Investiční rezerva – Opatrnější</t>
  </si>
  <si>
    <t xml:space="preserve">Portfolio podle vás </t>
  </si>
  <si>
    <t>Portfolio podle vás</t>
  </si>
  <si>
    <t xml:space="preserve">Investiční rezerva – Odvážnější </t>
  </si>
  <si>
    <t xml:space="preserve">Fond </t>
  </si>
  <si>
    <t>Stejný / velmi podobný instrument sečtený napříč portfolii. CZK přes kurzy z listu Kurzy. % z celku (list Přehled).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</si>
</sst>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333333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7A0000"/>
      <name val="Arial"/>
      <charset val="1"/>
    </font>
    <font>
      <b/>
      <sz val="12"/>
      <name val="Arial"/>
      <charset val="1"/>
    </font>
    <font>
      <b/>
      <sz val="14"/>
      <color rgb="FFFFFFFF"/>
      <name val="Montseratt"/>
    </font>
    <font>
      <i/>
      <sz val="9"/>
      <color rgb="FF333333"/>
      <name val="Montseratt"/>
    </font>
    <font>
      <sz val="11"/>
      <color theme="1"/>
      <name val="Montseratt"/>
    </font>
    <font>
      <b/>
      <sz val="10"/>
      <color rgb="FFFFFFFF"/>
      <name val="Montseratt"/>
    </font>
    <font>
      <sz val="10"/>
      <name val="Montseratt"/>
    </font>
    <font>
      <b/>
      <sz val="10"/>
      <name val="Montseratt"/>
    </font>
    <font>
      <i/>
      <sz val="9"/>
      <color rgb="FF7A0000"/>
      <name val="Montseratt"/>
    </font>
    <font>
      <i/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E9E2F3"/>
      </patternFill>
    </fill>
    <fill>
      <patternFill patternType="solid">
        <fgColor rgb="FFE9E2F3"/>
        <bgColor rgb="FFD9EAD3"/>
      </patternFill>
    </fill>
    <fill>
      <patternFill patternType="solid">
        <fgColor rgb="FFFFF3CD"/>
        <bgColor rgb="FFFFFFFF"/>
      </patternFill>
    </fill>
    <fill>
      <patternFill patternType="solid">
        <fgColor rgb="FF00A03C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/>
    <xf numFmtId="4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/>
    </xf>
    <xf numFmtId="4" fontId="4" fillId="0" borderId="0" xfId="0" applyNumberFormat="1" applyFont="1"/>
    <xf numFmtId="0" fontId="4" fillId="0" borderId="0" xfId="0" applyFont="1"/>
    <xf numFmtId="0" fontId="2" fillId="0" borderId="0" xfId="0" applyFont="1"/>
    <xf numFmtId="0" fontId="10" fillId="0" borderId="0" xfId="0" applyFont="1"/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4" fontId="12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0" fontId="13" fillId="3" borderId="1" xfId="0" applyFont="1" applyFill="1" applyBorder="1"/>
    <xf numFmtId="4" fontId="13" fillId="3" borderId="1" xfId="0" applyNumberFormat="1" applyFont="1" applyFill="1" applyBorder="1" applyAlignment="1">
      <alignment horizontal="right" vertical="center"/>
    </xf>
    <xf numFmtId="164" fontId="13" fillId="3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4" borderId="0" xfId="0" applyFont="1" applyFill="1"/>
    <xf numFmtId="0" fontId="6" fillId="0" borderId="0" xfId="0" applyFont="1"/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4" fillId="0" borderId="0" xfId="0" applyFont="1"/>
    <xf numFmtId="0" fontId="6" fillId="0" borderId="0" xfId="0" applyFont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E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2E8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03C"/>
      <color rgb="FF1E0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pane ySplit="4" topLeftCell="A5" activePane="bottomLeft" state="frozen"/>
      <selection pane="bottomLeft" activeCell="B18" sqref="B18"/>
    </sheetView>
  </sheetViews>
  <sheetFormatPr defaultColWidth="8.6328125" defaultRowHeight="14.5"/>
  <cols>
    <col min="1" max="1" width="26" customWidth="1"/>
    <col min="2" max="2" width="42" customWidth="1"/>
    <col min="3" max="3" width="12" customWidth="1"/>
    <col min="4" max="4" width="20" customWidth="1"/>
    <col min="5" max="5" width="18" customWidth="1"/>
    <col min="6" max="6" width="14" customWidth="1"/>
  </cols>
  <sheetData>
    <row r="1" spans="1:6" ht="24" customHeight="1">
      <c r="A1" s="37" t="s">
        <v>0</v>
      </c>
      <c r="B1" s="37"/>
      <c r="C1" s="37"/>
      <c r="D1" s="37"/>
      <c r="E1" s="37"/>
      <c r="F1" s="37"/>
    </row>
    <row r="2" spans="1:6" ht="15" customHeight="1">
      <c r="A2" s="38" t="s">
        <v>1</v>
      </c>
      <c r="B2" s="38"/>
      <c r="C2" s="38"/>
      <c r="D2" s="38"/>
      <c r="E2" s="38"/>
      <c r="F2" s="38"/>
    </row>
    <row r="3" spans="1:6">
      <c r="A3" s="18"/>
      <c r="B3" s="18"/>
      <c r="C3" s="18"/>
      <c r="D3" s="18"/>
      <c r="E3" s="18"/>
      <c r="F3" s="18"/>
    </row>
    <row r="4" spans="1:6">
      <c r="A4" s="30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30" t="s">
        <v>7</v>
      </c>
    </row>
    <row r="5" spans="1:6">
      <c r="A5" s="19" t="s">
        <v>8</v>
      </c>
      <c r="B5" s="19" t="s">
        <v>136</v>
      </c>
      <c r="C5" s="20" t="s">
        <v>9</v>
      </c>
      <c r="D5" s="21">
        <v>1387318</v>
      </c>
      <c r="E5" s="21">
        <f t="shared" ref="E5:E17" si="0">D5</f>
        <v>1387318</v>
      </c>
      <c r="F5" s="22">
        <f t="shared" ref="F5:F18" si="1">E5/$E$19</f>
        <v>0.3681998710121579</v>
      </c>
    </row>
    <row r="6" spans="1:6">
      <c r="A6" s="19" t="s">
        <v>10</v>
      </c>
      <c r="B6" s="19" t="s">
        <v>137</v>
      </c>
      <c r="C6" s="20" t="s">
        <v>9</v>
      </c>
      <c r="D6" s="21">
        <v>429100</v>
      </c>
      <c r="E6" s="21">
        <f t="shared" si="0"/>
        <v>429100</v>
      </c>
      <c r="F6" s="22">
        <f t="shared" si="1"/>
        <v>0.11388489492049909</v>
      </c>
    </row>
    <row r="7" spans="1:6">
      <c r="A7" s="23" t="s">
        <v>11</v>
      </c>
      <c r="B7" s="23" t="s">
        <v>138</v>
      </c>
      <c r="C7" s="24" t="s">
        <v>9</v>
      </c>
      <c r="D7" s="25">
        <v>369138.23</v>
      </c>
      <c r="E7" s="25">
        <f t="shared" si="0"/>
        <v>369138.23</v>
      </c>
      <c r="F7" s="26">
        <f t="shared" si="1"/>
        <v>9.7970795932624144E-2</v>
      </c>
    </row>
    <row r="8" spans="1:6">
      <c r="A8" s="23" t="s">
        <v>12</v>
      </c>
      <c r="B8" s="23" t="s">
        <v>139</v>
      </c>
      <c r="C8" s="24" t="s">
        <v>9</v>
      </c>
      <c r="D8" s="25">
        <v>309592.58</v>
      </c>
      <c r="E8" s="25">
        <f t="shared" si="0"/>
        <v>309592.58</v>
      </c>
      <c r="F8" s="26">
        <f t="shared" si="1"/>
        <v>8.2167136894584505E-2</v>
      </c>
    </row>
    <row r="9" spans="1:6">
      <c r="A9" s="19" t="s">
        <v>13</v>
      </c>
      <c r="B9" s="19" t="s">
        <v>137</v>
      </c>
      <c r="C9" s="20" t="s">
        <v>9</v>
      </c>
      <c r="D9" s="21">
        <v>268672</v>
      </c>
      <c r="E9" s="21">
        <f t="shared" si="0"/>
        <v>268672</v>
      </c>
      <c r="F9" s="22">
        <f t="shared" si="1"/>
        <v>7.1306647606805718E-2</v>
      </c>
    </row>
    <row r="10" spans="1:6">
      <c r="A10" s="23" t="s">
        <v>14</v>
      </c>
      <c r="B10" s="23" t="s">
        <v>138</v>
      </c>
      <c r="C10" s="24" t="s">
        <v>9</v>
      </c>
      <c r="D10" s="25">
        <v>259883.66</v>
      </c>
      <c r="E10" s="25">
        <f t="shared" si="0"/>
        <v>259883.66</v>
      </c>
      <c r="F10" s="26">
        <f t="shared" si="1"/>
        <v>6.8974186228512493E-2</v>
      </c>
    </row>
    <row r="11" spans="1:6">
      <c r="A11" s="23" t="s">
        <v>15</v>
      </c>
      <c r="B11" s="23" t="s">
        <v>138</v>
      </c>
      <c r="C11" s="24" t="s">
        <v>9</v>
      </c>
      <c r="D11" s="25">
        <v>169250.12</v>
      </c>
      <c r="E11" s="25">
        <f t="shared" si="0"/>
        <v>169250.12</v>
      </c>
      <c r="F11" s="26">
        <f t="shared" si="1"/>
        <v>4.4919674042139035E-2</v>
      </c>
    </row>
    <row r="12" spans="1:6">
      <c r="A12" s="23" t="s">
        <v>16</v>
      </c>
      <c r="B12" s="23" t="s">
        <v>138</v>
      </c>
      <c r="C12" s="24" t="s">
        <v>9</v>
      </c>
      <c r="D12" s="25">
        <v>144091.70000000001</v>
      </c>
      <c r="E12" s="25">
        <f t="shared" si="0"/>
        <v>144091.70000000001</v>
      </c>
      <c r="F12" s="26">
        <f t="shared" si="1"/>
        <v>3.8242526481976416E-2</v>
      </c>
    </row>
    <row r="13" spans="1:6">
      <c r="A13" s="23" t="s">
        <v>17</v>
      </c>
      <c r="B13" s="23" t="s">
        <v>138</v>
      </c>
      <c r="C13" s="24" t="s">
        <v>9</v>
      </c>
      <c r="D13" s="25">
        <v>138953.89000000001</v>
      </c>
      <c r="E13" s="25">
        <f t="shared" si="0"/>
        <v>138953.89000000001</v>
      </c>
      <c r="F13" s="26">
        <f t="shared" si="1"/>
        <v>3.6878930695512915E-2</v>
      </c>
    </row>
    <row r="14" spans="1:6">
      <c r="A14" s="23" t="s">
        <v>18</v>
      </c>
      <c r="B14" s="23" t="s">
        <v>19</v>
      </c>
      <c r="C14" s="24" t="s">
        <v>9</v>
      </c>
      <c r="D14" s="25">
        <v>89865.5</v>
      </c>
      <c r="E14" s="25">
        <f t="shared" si="0"/>
        <v>89865.5</v>
      </c>
      <c r="F14" s="26">
        <f t="shared" si="1"/>
        <v>2.3850671229266162E-2</v>
      </c>
    </row>
    <row r="15" spans="1:6">
      <c r="A15" s="19" t="s">
        <v>20</v>
      </c>
      <c r="B15" s="19" t="s">
        <v>140</v>
      </c>
      <c r="C15" s="20" t="s">
        <v>9</v>
      </c>
      <c r="D15" s="21">
        <v>80439</v>
      </c>
      <c r="E15" s="21">
        <f t="shared" si="0"/>
        <v>80439</v>
      </c>
      <c r="F15" s="22">
        <f t="shared" si="1"/>
        <v>2.1348839577045038E-2</v>
      </c>
    </row>
    <row r="16" spans="1:6">
      <c r="A16" s="23" t="s">
        <v>21</v>
      </c>
      <c r="B16" s="23" t="s">
        <v>141</v>
      </c>
      <c r="C16" s="24" t="s">
        <v>9</v>
      </c>
      <c r="D16" s="25">
        <v>55561</v>
      </c>
      <c r="E16" s="25">
        <f t="shared" si="0"/>
        <v>55561</v>
      </c>
      <c r="F16" s="26">
        <f t="shared" si="1"/>
        <v>1.4746116631735843E-2</v>
      </c>
    </row>
    <row r="17" spans="1:6">
      <c r="A17" s="23" t="s">
        <v>22</v>
      </c>
      <c r="B17" s="23" t="s">
        <v>138</v>
      </c>
      <c r="C17" s="24" t="s">
        <v>9</v>
      </c>
      <c r="D17" s="25">
        <v>33896.379999999997</v>
      </c>
      <c r="E17" s="25">
        <f t="shared" si="0"/>
        <v>33896.379999999997</v>
      </c>
      <c r="F17" s="26">
        <f t="shared" si="1"/>
        <v>8.9962378804132066E-3</v>
      </c>
    </row>
    <row r="18" spans="1:6">
      <c r="A18" s="23" t="s">
        <v>23</v>
      </c>
      <c r="B18" s="23" t="s">
        <v>24</v>
      </c>
      <c r="C18" s="24" t="s">
        <v>25</v>
      </c>
      <c r="D18" s="25">
        <v>1326.06</v>
      </c>
      <c r="E18" s="25">
        <f>D18*Kurzy!$B$5</f>
        <v>32077.3914</v>
      </c>
      <c r="F18" s="26">
        <f t="shared" si="1"/>
        <v>8.5134708667273865E-3</v>
      </c>
    </row>
    <row r="19" spans="1:6">
      <c r="A19" s="27" t="s">
        <v>26</v>
      </c>
      <c r="B19" s="27"/>
      <c r="C19" s="27"/>
      <c r="D19" s="27"/>
      <c r="E19" s="28">
        <f>SUM(E5:E18)</f>
        <v>3767839.4514000006</v>
      </c>
      <c r="F19" s="29">
        <f>SUM(F5:F18)</f>
        <v>1.0000000000000002</v>
      </c>
    </row>
    <row r="20" spans="1:6">
      <c r="A20" s="18"/>
      <c r="B20" s="18"/>
      <c r="C20" s="18"/>
      <c r="D20" s="18"/>
      <c r="E20" s="18"/>
      <c r="F20" s="18"/>
    </row>
    <row r="21" spans="1:6">
      <c r="A21" s="39" t="s">
        <v>27</v>
      </c>
      <c r="B21" s="39"/>
      <c r="C21" s="39"/>
      <c r="D21" s="39"/>
      <c r="E21" s="39"/>
      <c r="F21" s="39"/>
    </row>
    <row r="22" spans="1:6">
      <c r="A22" s="39" t="s">
        <v>28</v>
      </c>
      <c r="B22" s="39"/>
      <c r="C22" s="39"/>
      <c r="D22" s="39"/>
      <c r="E22" s="39"/>
      <c r="F22" s="39"/>
    </row>
  </sheetData>
  <mergeCells count="4">
    <mergeCell ref="A1:F1"/>
    <mergeCell ref="A2:F2"/>
    <mergeCell ref="A21:F21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zoomScaleNormal="100" workbookViewId="0">
      <pane ySplit="4" topLeftCell="A50" activePane="bottomLeft" state="frozen"/>
      <selection pane="bottomLeft" activeCell="B12" sqref="B12"/>
    </sheetView>
  </sheetViews>
  <sheetFormatPr defaultColWidth="8.6328125" defaultRowHeight="14.5"/>
  <cols>
    <col min="1" max="1" width="22" customWidth="1"/>
    <col min="2" max="2" width="40" customWidth="1"/>
    <col min="3" max="3" width="12" customWidth="1"/>
    <col min="4" max="4" width="20" customWidth="1"/>
    <col min="5" max="5" width="18" customWidth="1"/>
    <col min="6" max="6" width="20" customWidth="1"/>
    <col min="7" max="7" width="14" customWidth="1"/>
  </cols>
  <sheetData>
    <row r="1" spans="1:7" ht="24" customHeight="1">
      <c r="A1" s="32" t="s">
        <v>135</v>
      </c>
      <c r="B1" s="32"/>
      <c r="C1" s="32"/>
      <c r="D1" s="32"/>
      <c r="E1" s="32"/>
      <c r="F1" s="32"/>
      <c r="G1" s="32"/>
    </row>
    <row r="2" spans="1:7" ht="42" customHeight="1">
      <c r="A2" s="40" t="s">
        <v>29</v>
      </c>
      <c r="B2" s="40"/>
      <c r="C2" s="40"/>
      <c r="D2" s="40"/>
      <c r="E2" s="40"/>
      <c r="F2" s="40"/>
      <c r="G2" s="40"/>
    </row>
    <row r="4" spans="1:7">
      <c r="A4" s="31" t="s">
        <v>2</v>
      </c>
      <c r="B4" s="31" t="s">
        <v>30</v>
      </c>
      <c r="C4" s="31" t="s">
        <v>4</v>
      </c>
      <c r="D4" s="31" t="s">
        <v>5</v>
      </c>
      <c r="E4" s="31" t="s">
        <v>6</v>
      </c>
      <c r="F4" s="31" t="s">
        <v>31</v>
      </c>
      <c r="G4" s="31" t="s">
        <v>7</v>
      </c>
    </row>
    <row r="5" spans="1:7">
      <c r="A5" s="8" t="s">
        <v>17</v>
      </c>
      <c r="B5" s="8" t="s">
        <v>32</v>
      </c>
      <c r="C5" s="9" t="s">
        <v>33</v>
      </c>
      <c r="D5" s="10">
        <v>2218.4299999999998</v>
      </c>
      <c r="E5" s="10">
        <f>D5*Kurzy!$B$4</f>
        <v>47030.715999999993</v>
      </c>
      <c r="F5" s="11">
        <v>0.33800000000000002</v>
      </c>
      <c r="G5" s="11">
        <f>E5/Přehled!$E$19</f>
        <v>1.2482144371232427E-2</v>
      </c>
    </row>
    <row r="6" spans="1:7">
      <c r="A6" s="1" t="s">
        <v>17</v>
      </c>
      <c r="B6" s="1" t="s">
        <v>34</v>
      </c>
      <c r="C6" s="2" t="s">
        <v>25</v>
      </c>
      <c r="D6" s="3">
        <v>877.49</v>
      </c>
      <c r="E6" s="3">
        <f>D6*Kurzy!$B$5</f>
        <v>21226.483100000001</v>
      </c>
      <c r="F6" s="4">
        <v>0.15260000000000001</v>
      </c>
      <c r="G6" s="4">
        <f>E6/Přehled!$E$19</f>
        <v>5.63359542618329E-3</v>
      </c>
    </row>
    <row r="7" spans="1:7">
      <c r="A7" s="1" t="s">
        <v>17</v>
      </c>
      <c r="B7" s="1" t="s">
        <v>35</v>
      </c>
      <c r="C7" s="2" t="s">
        <v>25</v>
      </c>
      <c r="D7" s="3">
        <v>869.94</v>
      </c>
      <c r="E7" s="3">
        <f>D7*Kurzy!$B$5</f>
        <v>21043.848600000001</v>
      </c>
      <c r="F7" s="4">
        <v>0.15129999999999999</v>
      </c>
      <c r="G7" s="4">
        <f>E7/Přehled!$E$19</f>
        <v>5.5851234829501096E-3</v>
      </c>
    </row>
    <row r="8" spans="1:7">
      <c r="A8" s="8" t="s">
        <v>17</v>
      </c>
      <c r="B8" s="8" t="s">
        <v>36</v>
      </c>
      <c r="C8" s="9" t="s">
        <v>33</v>
      </c>
      <c r="D8" s="10">
        <v>538.91999999999996</v>
      </c>
      <c r="E8" s="10">
        <f>D8*Kurzy!$B$4</f>
        <v>11425.103999999999</v>
      </c>
      <c r="F8" s="11">
        <v>8.2100000000000006E-2</v>
      </c>
      <c r="G8" s="11">
        <f>E8/Přehled!$E$19</f>
        <v>3.0322693276527003E-3</v>
      </c>
    </row>
    <row r="9" spans="1:7">
      <c r="A9" s="1" t="s">
        <v>17</v>
      </c>
      <c r="B9" s="1" t="s">
        <v>37</v>
      </c>
      <c r="C9" s="2" t="s">
        <v>25</v>
      </c>
      <c r="D9" s="3">
        <v>466.57</v>
      </c>
      <c r="E9" s="3">
        <f>D9*Kurzy!$B$5</f>
        <v>11286.328300000001</v>
      </c>
      <c r="F9" s="4">
        <v>8.1100000000000005E-2</v>
      </c>
      <c r="G9" s="4">
        <f>E9/Přehled!$E$19</f>
        <v>2.995437689311944E-3</v>
      </c>
    </row>
    <row r="10" spans="1:7">
      <c r="A10" s="1" t="s">
        <v>17</v>
      </c>
      <c r="B10" s="1" t="s">
        <v>38</v>
      </c>
      <c r="C10" s="2" t="s">
        <v>25</v>
      </c>
      <c r="D10" s="3">
        <v>390.52</v>
      </c>
      <c r="E10" s="3">
        <f>D10*Kurzy!$B$5</f>
        <v>9446.6787999999997</v>
      </c>
      <c r="F10" s="4">
        <v>6.7900000000000002E-2</v>
      </c>
      <c r="G10" s="4">
        <f>E10/Přehled!$E$19</f>
        <v>2.5071871882677847E-3</v>
      </c>
    </row>
    <row r="11" spans="1:7">
      <c r="A11" s="1" t="s">
        <v>17</v>
      </c>
      <c r="B11" s="1" t="s">
        <v>39</v>
      </c>
      <c r="C11" s="2" t="s">
        <v>25</v>
      </c>
      <c r="D11" s="3">
        <v>239.74</v>
      </c>
      <c r="E11" s="3">
        <f>D11*Kurzy!$B$5</f>
        <v>5799.3106000000007</v>
      </c>
      <c r="F11" s="4">
        <v>4.1700000000000001E-2</v>
      </c>
      <c r="G11" s="4">
        <f>E11/Přehled!$E$19</f>
        <v>1.5391607510891088E-3</v>
      </c>
    </row>
    <row r="12" spans="1:7">
      <c r="A12" s="1" t="s">
        <v>17</v>
      </c>
      <c r="B12" s="1" t="s">
        <v>40</v>
      </c>
      <c r="C12" s="2" t="s">
        <v>25</v>
      </c>
      <c r="D12" s="3">
        <v>234.58</v>
      </c>
      <c r="E12" s="3">
        <f>D12*Kurzy!$B$5</f>
        <v>5674.4902000000002</v>
      </c>
      <c r="F12" s="4">
        <v>4.0800000000000003E-2</v>
      </c>
      <c r="G12" s="4">
        <f>E12/Přehled!$E$19</f>
        <v>1.5060329064423255E-3</v>
      </c>
    </row>
    <row r="13" spans="1:7">
      <c r="A13" s="1" t="s">
        <v>17</v>
      </c>
      <c r="B13" s="1" t="s">
        <v>41</v>
      </c>
      <c r="C13" s="2" t="s">
        <v>33</v>
      </c>
      <c r="D13" s="3">
        <v>178.53</v>
      </c>
      <c r="E13" s="3">
        <f>D13*Kurzy!$B$4</f>
        <v>3784.8359999999998</v>
      </c>
      <c r="F13" s="4">
        <v>2.7199999999999998E-2</v>
      </c>
      <c r="G13" s="4">
        <f>E13/Přehled!$E$19</f>
        <v>1.004510953510422E-3</v>
      </c>
    </row>
    <row r="14" spans="1:7">
      <c r="A14" s="1" t="s">
        <v>11</v>
      </c>
      <c r="B14" s="1" t="s">
        <v>42</v>
      </c>
      <c r="C14" s="2" t="s">
        <v>33</v>
      </c>
      <c r="D14" s="3">
        <v>2982.96</v>
      </c>
      <c r="E14" s="3">
        <f>D14*Kurzy!$B$4</f>
        <v>63238.752</v>
      </c>
      <c r="F14" s="4">
        <v>0.1711</v>
      </c>
      <c r="G14" s="4">
        <f>E14/Přehled!$E$19</f>
        <v>1.6783823412779075E-2</v>
      </c>
    </row>
    <row r="15" spans="1:7">
      <c r="A15" s="1" t="s">
        <v>11</v>
      </c>
      <c r="B15" s="1" t="s">
        <v>43</v>
      </c>
      <c r="C15" s="2" t="s">
        <v>25</v>
      </c>
      <c r="D15" s="3">
        <v>1904.45</v>
      </c>
      <c r="E15" s="3">
        <f>D15*Kurzy!$B$5</f>
        <v>46068.645500000006</v>
      </c>
      <c r="F15" s="4">
        <v>0.12470000000000001</v>
      </c>
      <c r="G15" s="4">
        <f>E15/Přehled!$E$19</f>
        <v>1.2226806925884931E-2</v>
      </c>
    </row>
    <row r="16" spans="1:7">
      <c r="A16" s="1" t="s">
        <v>11</v>
      </c>
      <c r="B16" s="1" t="s">
        <v>44</v>
      </c>
      <c r="C16" s="2" t="s">
        <v>25</v>
      </c>
      <c r="D16" s="3">
        <v>1636.72</v>
      </c>
      <c r="E16" s="3">
        <f>D16*Kurzy!$B$5</f>
        <v>39592.256800000003</v>
      </c>
      <c r="F16" s="4">
        <v>0.1071</v>
      </c>
      <c r="G16" s="4">
        <f>E16/Přehled!$E$19</f>
        <v>1.0507946877961817E-2</v>
      </c>
    </row>
    <row r="17" spans="1:7">
      <c r="A17" s="8" t="s">
        <v>11</v>
      </c>
      <c r="B17" s="8" t="s">
        <v>45</v>
      </c>
      <c r="C17" s="9" t="s">
        <v>33</v>
      </c>
      <c r="D17" s="10">
        <v>2136.31</v>
      </c>
      <c r="E17" s="10">
        <f>D17*Kurzy!$B$4</f>
        <v>45289.771999999997</v>
      </c>
      <c r="F17" s="11">
        <v>0.1225</v>
      </c>
      <c r="G17" s="11">
        <f>E17/Přehled!$E$19</f>
        <v>1.2020090713571106E-2</v>
      </c>
    </row>
    <row r="18" spans="1:7">
      <c r="A18" s="1" t="s">
        <v>11</v>
      </c>
      <c r="B18" s="1" t="s">
        <v>46</v>
      </c>
      <c r="C18" s="2" t="s">
        <v>33</v>
      </c>
      <c r="D18" s="3">
        <v>1571.61</v>
      </c>
      <c r="E18" s="3">
        <f>D18*Kurzy!$B$4</f>
        <v>33318.131999999998</v>
      </c>
      <c r="F18" s="4">
        <v>9.01E-2</v>
      </c>
      <c r="G18" s="4">
        <f>E18/Přehled!$E$19</f>
        <v>8.8427684963116246E-3</v>
      </c>
    </row>
    <row r="19" spans="1:7">
      <c r="A19" s="1" t="s">
        <v>11</v>
      </c>
      <c r="B19" s="1" t="s">
        <v>47</v>
      </c>
      <c r="C19" s="2" t="s">
        <v>25</v>
      </c>
      <c r="D19" s="3">
        <v>1251.3</v>
      </c>
      <c r="E19" s="3">
        <f>D19*Kurzy!$B$5</f>
        <v>30268.947</v>
      </c>
      <c r="F19" s="4">
        <v>8.1900000000000001E-2</v>
      </c>
      <c r="G19" s="4">
        <f>E19/Přehled!$E$19</f>
        <v>8.0335023268449223E-3</v>
      </c>
    </row>
    <row r="20" spans="1:7">
      <c r="A20" s="1" t="s">
        <v>11</v>
      </c>
      <c r="B20" s="1" t="s">
        <v>48</v>
      </c>
      <c r="C20" s="2" t="s">
        <v>25</v>
      </c>
      <c r="D20" s="3">
        <v>1004.27</v>
      </c>
      <c r="E20" s="3">
        <f>D20*Kurzy!$B$5</f>
        <v>24293.291300000001</v>
      </c>
      <c r="F20" s="4">
        <v>6.5699999999999995E-2</v>
      </c>
      <c r="G20" s="4">
        <f>E20/Přehled!$E$19</f>
        <v>6.4475388650048352E-3</v>
      </c>
    </row>
    <row r="21" spans="1:7">
      <c r="A21" s="1" t="s">
        <v>11</v>
      </c>
      <c r="B21" s="1" t="s">
        <v>49</v>
      </c>
      <c r="C21" s="2" t="s">
        <v>33</v>
      </c>
      <c r="D21" s="3">
        <v>1221.27</v>
      </c>
      <c r="E21" s="3">
        <f>D21*Kurzy!$B$4</f>
        <v>25890.923999999999</v>
      </c>
      <c r="F21" s="4">
        <v>7.0000000000000007E-2</v>
      </c>
      <c r="G21" s="4">
        <f>E21/Přehled!$E$19</f>
        <v>6.8715571175358373E-3</v>
      </c>
    </row>
    <row r="22" spans="1:7">
      <c r="A22" s="1" t="s">
        <v>11</v>
      </c>
      <c r="B22" s="1" t="s">
        <v>50</v>
      </c>
      <c r="C22" s="2" t="s">
        <v>33</v>
      </c>
      <c r="D22" s="3">
        <v>1064.1199999999999</v>
      </c>
      <c r="E22" s="3">
        <f>D22*Kurzy!$B$4</f>
        <v>22559.343999999997</v>
      </c>
      <c r="F22" s="4">
        <v>6.0999999999999999E-2</v>
      </c>
      <c r="G22" s="4">
        <f>E22/Přehled!$E$19</f>
        <v>5.9873421601384091E-3</v>
      </c>
    </row>
    <row r="23" spans="1:7">
      <c r="A23" s="1" t="s">
        <v>11</v>
      </c>
      <c r="B23" s="1" t="s">
        <v>51</v>
      </c>
      <c r="C23" s="2" t="s">
        <v>33</v>
      </c>
      <c r="D23" s="3">
        <v>936.08</v>
      </c>
      <c r="E23" s="3">
        <f>D23*Kurzy!$B$4</f>
        <v>19844.896000000001</v>
      </c>
      <c r="F23" s="4">
        <v>5.3699999999999998E-2</v>
      </c>
      <c r="G23" s="4">
        <f>E23/Přehled!$E$19</f>
        <v>5.2669165594691975E-3</v>
      </c>
    </row>
    <row r="24" spans="1:7">
      <c r="A24" s="1" t="s">
        <v>11</v>
      </c>
      <c r="B24" s="1" t="s">
        <v>52</v>
      </c>
      <c r="C24" s="2" t="s">
        <v>33</v>
      </c>
      <c r="D24" s="3">
        <v>555.66</v>
      </c>
      <c r="E24" s="3">
        <f>D24*Kurzy!$B$4</f>
        <v>11779.991999999998</v>
      </c>
      <c r="F24" s="4">
        <v>3.1899999999999998E-2</v>
      </c>
      <c r="G24" s="4">
        <f>E24/Přehled!$E$19</f>
        <v>3.1264580542631547E-3</v>
      </c>
    </row>
    <row r="25" spans="1:7">
      <c r="A25" s="1" t="s">
        <v>12</v>
      </c>
      <c r="B25" s="1" t="s">
        <v>53</v>
      </c>
      <c r="C25" s="2" t="s">
        <v>33</v>
      </c>
      <c r="D25" s="3">
        <v>2347.61</v>
      </c>
      <c r="E25" s="3">
        <f>D25*Kurzy!$B$4</f>
        <v>49769.332000000002</v>
      </c>
      <c r="F25" s="4">
        <v>0.1605</v>
      </c>
      <c r="G25" s="4">
        <f>E25/Přehled!$E$19</f>
        <v>1.3208984257943214E-2</v>
      </c>
    </row>
    <row r="26" spans="1:7">
      <c r="A26" s="1" t="s">
        <v>12</v>
      </c>
      <c r="B26" s="1" t="s">
        <v>54</v>
      </c>
      <c r="C26" s="2" t="s">
        <v>25</v>
      </c>
      <c r="D26" s="3">
        <v>2096.37</v>
      </c>
      <c r="E26" s="3">
        <f>D26*Kurzy!$B$5</f>
        <v>50711.190300000002</v>
      </c>
      <c r="F26" s="4">
        <v>0.1636</v>
      </c>
      <c r="G26" s="4">
        <f>E26/Přehled!$E$19</f>
        <v>1.3458957302747454E-2</v>
      </c>
    </row>
    <row r="27" spans="1:7">
      <c r="A27" s="1" t="s">
        <v>12</v>
      </c>
      <c r="B27" s="1" t="s">
        <v>55</v>
      </c>
      <c r="C27" s="2" t="s">
        <v>25</v>
      </c>
      <c r="D27" s="3">
        <v>2354.4</v>
      </c>
      <c r="E27" s="3">
        <f>D27*Kurzy!$B$5</f>
        <v>56952.936000000009</v>
      </c>
      <c r="F27" s="4">
        <v>0.161</v>
      </c>
      <c r="G27" s="4">
        <f>E27/Přehled!$E$19</f>
        <v>1.5115542138834563E-2</v>
      </c>
    </row>
    <row r="28" spans="1:7">
      <c r="A28" s="8" t="s">
        <v>12</v>
      </c>
      <c r="B28" s="8" t="s">
        <v>45</v>
      </c>
      <c r="C28" s="9" t="s">
        <v>33</v>
      </c>
      <c r="D28" s="10">
        <v>1486.83</v>
      </c>
      <c r="E28" s="10">
        <f>D28*Kurzy!$B$4</f>
        <v>31520.795999999998</v>
      </c>
      <c r="F28" s="11">
        <v>0.1017</v>
      </c>
      <c r="G28" s="11">
        <f>E28/Přehled!$E$19</f>
        <v>8.3657481712199663E-3</v>
      </c>
    </row>
    <row r="29" spans="1:7">
      <c r="A29" s="1" t="s">
        <v>12</v>
      </c>
      <c r="B29" s="1" t="s">
        <v>56</v>
      </c>
      <c r="C29" s="2" t="s">
        <v>25</v>
      </c>
      <c r="D29" s="3">
        <v>1182.3499999999999</v>
      </c>
      <c r="E29" s="3">
        <f>D29*Kurzy!$B$5</f>
        <v>28601.0465</v>
      </c>
      <c r="F29" s="4">
        <v>9.2299999999999993E-2</v>
      </c>
      <c r="G29" s="4">
        <f>E29/Přehled!$E$19</f>
        <v>7.5908347128147476E-3</v>
      </c>
    </row>
    <row r="30" spans="1:7">
      <c r="A30" s="1" t="s">
        <v>12</v>
      </c>
      <c r="B30" s="1" t="s">
        <v>57</v>
      </c>
      <c r="C30" s="2" t="s">
        <v>25</v>
      </c>
      <c r="D30" s="3">
        <v>792.62</v>
      </c>
      <c r="E30" s="3">
        <f>D30*Kurzy!$B$5</f>
        <v>19173.477800000001</v>
      </c>
      <c r="F30" s="4">
        <v>6.1899999999999997E-2</v>
      </c>
      <c r="G30" s="4">
        <f>E30/Přehled!$E$19</f>
        <v>5.0887194232428854E-3</v>
      </c>
    </row>
    <row r="31" spans="1:7">
      <c r="A31" s="1" t="s">
        <v>12</v>
      </c>
      <c r="B31" s="1" t="s">
        <v>58</v>
      </c>
      <c r="C31" s="2" t="s">
        <v>33</v>
      </c>
      <c r="D31" s="3">
        <v>852.51</v>
      </c>
      <c r="E31" s="3">
        <f>D31*Kurzy!$B$4</f>
        <v>18073.212</v>
      </c>
      <c r="F31" s="4">
        <v>5.8299999999999998E-2</v>
      </c>
      <c r="G31" s="4">
        <f>E31/Přehled!$E$19</f>
        <v>4.7967043800883321E-3</v>
      </c>
    </row>
    <row r="32" spans="1:7">
      <c r="A32" s="1" t="s">
        <v>12</v>
      </c>
      <c r="B32" s="1" t="s">
        <v>59</v>
      </c>
      <c r="C32" s="2" t="s">
        <v>33</v>
      </c>
      <c r="D32" s="3">
        <v>764.99</v>
      </c>
      <c r="E32" s="3">
        <f>D32*Kurzy!$B$4</f>
        <v>16217.788</v>
      </c>
      <c r="F32" s="4">
        <v>5.2299999999999999E-2</v>
      </c>
      <c r="G32" s="4">
        <f>E32/Přehled!$E$19</f>
        <v>4.3042672622300888E-3</v>
      </c>
    </row>
    <row r="33" spans="1:7">
      <c r="A33" s="1" t="s">
        <v>12</v>
      </c>
      <c r="B33" s="1" t="s">
        <v>60</v>
      </c>
      <c r="C33" s="2" t="s">
        <v>33</v>
      </c>
      <c r="D33" s="3">
        <v>895.81</v>
      </c>
      <c r="E33" s="3">
        <f>D33*Kurzy!$B$4</f>
        <v>18991.171999999999</v>
      </c>
      <c r="F33" s="4">
        <v>6.13E-2</v>
      </c>
      <c r="G33" s="4">
        <f>E33/Přehled!$E$19</f>
        <v>5.0403347183340117E-3</v>
      </c>
    </row>
    <row r="34" spans="1:7">
      <c r="A34" s="1" t="s">
        <v>12</v>
      </c>
      <c r="B34" s="1" t="s">
        <v>61</v>
      </c>
      <c r="C34" s="2" t="s">
        <v>25</v>
      </c>
      <c r="D34" s="3">
        <v>735.14</v>
      </c>
      <c r="E34" s="3">
        <f>D34*Kurzy!$B$5</f>
        <v>17783.036599999999</v>
      </c>
      <c r="F34" s="4">
        <v>5.74E-2</v>
      </c>
      <c r="G34" s="4">
        <f>E34/Přehled!$E$19</f>
        <v>4.7196906421775563E-3</v>
      </c>
    </row>
    <row r="35" spans="1:7">
      <c r="A35" s="8" t="s">
        <v>16</v>
      </c>
      <c r="B35" s="8" t="s">
        <v>62</v>
      </c>
      <c r="C35" s="9" t="s">
        <v>9</v>
      </c>
      <c r="D35" s="10">
        <v>25287.97</v>
      </c>
      <c r="E35" s="10">
        <f>D35</f>
        <v>25287.97</v>
      </c>
      <c r="F35" s="11">
        <v>0.17549999999999999</v>
      </c>
      <c r="G35" s="11">
        <f>E35/Přehled!$E$19</f>
        <v>6.7115306599923874E-3</v>
      </c>
    </row>
    <row r="36" spans="1:7">
      <c r="A36" s="1" t="s">
        <v>16</v>
      </c>
      <c r="B36" s="1" t="s">
        <v>63</v>
      </c>
      <c r="C36" s="2" t="s">
        <v>33</v>
      </c>
      <c r="D36" s="3">
        <v>947.9</v>
      </c>
      <c r="E36" s="3">
        <f>D36*Kurzy!$B$4</f>
        <v>20095.48</v>
      </c>
      <c r="F36" s="4">
        <v>0.13930000000000001</v>
      </c>
      <c r="G36" s="4">
        <f>E36/Přehled!$E$19</f>
        <v>5.3334225779002355E-3</v>
      </c>
    </row>
    <row r="37" spans="1:7">
      <c r="A37" s="1" t="s">
        <v>16</v>
      </c>
      <c r="B37" s="1" t="s">
        <v>64</v>
      </c>
      <c r="C37" s="2" t="s">
        <v>33</v>
      </c>
      <c r="D37" s="3">
        <v>875.18</v>
      </c>
      <c r="E37" s="3">
        <f>D37*Kurzy!$B$4</f>
        <v>18553.815999999999</v>
      </c>
      <c r="F37" s="4">
        <v>0.12859999999999999</v>
      </c>
      <c r="G37" s="4">
        <f>E37/Přehled!$E$19</f>
        <v>4.9242586472483677E-3</v>
      </c>
    </row>
    <row r="38" spans="1:7">
      <c r="A38" s="1" t="s">
        <v>16</v>
      </c>
      <c r="B38" s="1" t="s">
        <v>65</v>
      </c>
      <c r="C38" s="2" t="s">
        <v>33</v>
      </c>
      <c r="D38" s="3">
        <v>837.61</v>
      </c>
      <c r="E38" s="3">
        <f>D38*Kurzy!$B$4</f>
        <v>17757.331999999999</v>
      </c>
      <c r="F38" s="4">
        <v>0.1231</v>
      </c>
      <c r="G38" s="4">
        <f>E38/Přehled!$E$19</f>
        <v>4.7128685362116422E-3</v>
      </c>
    </row>
    <row r="39" spans="1:7">
      <c r="A39" s="1" t="s">
        <v>16</v>
      </c>
      <c r="B39" s="1" t="s">
        <v>66</v>
      </c>
      <c r="C39" s="2" t="s">
        <v>33</v>
      </c>
      <c r="D39" s="3">
        <v>729.46</v>
      </c>
      <c r="E39" s="3">
        <f>D39*Kurzy!$B$4</f>
        <v>15464.552</v>
      </c>
      <c r="F39" s="4">
        <v>0.1072</v>
      </c>
      <c r="G39" s="4">
        <f>E39/Přehled!$E$19</f>
        <v>4.1043553472677559E-3</v>
      </c>
    </row>
    <row r="40" spans="1:7">
      <c r="A40" s="1" t="s">
        <v>16</v>
      </c>
      <c r="B40" s="1" t="s">
        <v>67</v>
      </c>
      <c r="C40" s="2" t="s">
        <v>33</v>
      </c>
      <c r="D40" s="3">
        <v>514.77</v>
      </c>
      <c r="E40" s="3">
        <f>D40*Kurzy!$B$4</f>
        <v>10913.124</v>
      </c>
      <c r="F40" s="4">
        <v>7.5600000000000001E-2</v>
      </c>
      <c r="G40" s="4">
        <f>E40/Přehled!$E$19</f>
        <v>2.8963877417720269E-3</v>
      </c>
    </row>
    <row r="41" spans="1:7">
      <c r="A41" s="1" t="s">
        <v>16</v>
      </c>
      <c r="B41" s="1" t="s">
        <v>68</v>
      </c>
      <c r="C41" s="2" t="s">
        <v>33</v>
      </c>
      <c r="D41" s="3">
        <v>507.79</v>
      </c>
      <c r="E41" s="3">
        <f>D41*Kurzy!$B$4</f>
        <v>10765.147999999999</v>
      </c>
      <c r="F41" s="4">
        <v>7.46E-2</v>
      </c>
      <c r="G41" s="4">
        <f>E41/Přehled!$E$19</f>
        <v>2.8571143061841549E-3</v>
      </c>
    </row>
    <row r="42" spans="1:7">
      <c r="A42" s="1" t="s">
        <v>16</v>
      </c>
      <c r="B42" s="1" t="s">
        <v>69</v>
      </c>
      <c r="C42" s="2" t="s">
        <v>9</v>
      </c>
      <c r="D42" s="3">
        <v>9419.9</v>
      </c>
      <c r="E42" s="3">
        <f>D42</f>
        <v>9419.9</v>
      </c>
      <c r="F42" s="4">
        <v>6.54E-2</v>
      </c>
      <c r="G42" s="4">
        <f>E42/Přehled!$E$19</f>
        <v>2.5000799852286397E-3</v>
      </c>
    </row>
    <row r="43" spans="1:7">
      <c r="A43" s="1" t="s">
        <v>16</v>
      </c>
      <c r="B43" s="1" t="s">
        <v>70</v>
      </c>
      <c r="C43" s="2" t="s">
        <v>33</v>
      </c>
      <c r="D43" s="3">
        <v>409.93</v>
      </c>
      <c r="E43" s="3">
        <f>D43*Kurzy!$B$4</f>
        <v>8690.5159999999996</v>
      </c>
      <c r="F43" s="4">
        <v>6.0199999999999997E-2</v>
      </c>
      <c r="G43" s="4">
        <f>E43/Přehled!$E$19</f>
        <v>2.3064984886155115E-3</v>
      </c>
    </row>
    <row r="44" spans="1:7">
      <c r="A44" s="1" t="s">
        <v>16</v>
      </c>
      <c r="B44" s="1" t="s">
        <v>71</v>
      </c>
      <c r="C44" s="2" t="s">
        <v>33</v>
      </c>
      <c r="D44" s="3">
        <v>199.41</v>
      </c>
      <c r="E44" s="3">
        <f>D44*Kurzy!$B$4</f>
        <v>4227.4920000000002</v>
      </c>
      <c r="F44" s="4">
        <v>2.93E-2</v>
      </c>
      <c r="G44" s="4">
        <f>E44/Přehled!$E$19</f>
        <v>1.1219936662718493E-3</v>
      </c>
    </row>
    <row r="45" spans="1:7">
      <c r="A45" s="8" t="s">
        <v>22</v>
      </c>
      <c r="B45" s="8" t="s">
        <v>23</v>
      </c>
      <c r="C45" s="9" t="s">
        <v>25</v>
      </c>
      <c r="D45" s="10">
        <v>281.48</v>
      </c>
      <c r="E45" s="10">
        <f>D45*Kurzy!$B$5</f>
        <v>6809.0012000000006</v>
      </c>
      <c r="F45" s="11">
        <v>0.20069999999999999</v>
      </c>
      <c r="G45" s="11">
        <f>E45/Přehled!$E$19</f>
        <v>1.8071367657318859E-3</v>
      </c>
    </row>
    <row r="46" spans="1:7">
      <c r="A46" s="1" t="s">
        <v>22</v>
      </c>
      <c r="B46" s="1" t="s">
        <v>72</v>
      </c>
      <c r="C46" s="2" t="s">
        <v>25</v>
      </c>
      <c r="D46" s="3">
        <v>258.33</v>
      </c>
      <c r="E46" s="3">
        <f>D46*Kurzy!$B$5</f>
        <v>6249.0027</v>
      </c>
      <c r="F46" s="4">
        <v>0.1842</v>
      </c>
      <c r="G46" s="4">
        <f>E46/Přehled!$E$19</f>
        <v>1.6585108735665698E-3</v>
      </c>
    </row>
    <row r="47" spans="1:7">
      <c r="A47" s="8" t="s">
        <v>22</v>
      </c>
      <c r="B47" s="8" t="s">
        <v>73</v>
      </c>
      <c r="C47" s="9" t="s">
        <v>25</v>
      </c>
      <c r="D47" s="10">
        <v>228.03</v>
      </c>
      <c r="E47" s="10">
        <f>D47*Kurzy!$B$5</f>
        <v>5516.0457000000006</v>
      </c>
      <c r="F47" s="11">
        <v>0.16259999999999999</v>
      </c>
      <c r="G47" s="11">
        <f>E47/Přehled!$E$19</f>
        <v>1.4639810881406918E-3</v>
      </c>
    </row>
    <row r="48" spans="1:7">
      <c r="A48" s="1" t="s">
        <v>22</v>
      </c>
      <c r="B48" s="1" t="s">
        <v>74</v>
      </c>
      <c r="C48" s="2" t="s">
        <v>25</v>
      </c>
      <c r="D48" s="3">
        <v>149.47</v>
      </c>
      <c r="E48" s="3">
        <f>D48*Kurzy!$B$5</f>
        <v>3615.6793000000002</v>
      </c>
      <c r="F48" s="4">
        <v>0.1066</v>
      </c>
      <c r="G48" s="4">
        <f>E48/Přehled!$E$19</f>
        <v>9.5961607351834944E-4</v>
      </c>
    </row>
    <row r="49" spans="1:7">
      <c r="A49" s="8" t="s">
        <v>22</v>
      </c>
      <c r="B49" s="8" t="s">
        <v>75</v>
      </c>
      <c r="C49" s="9" t="s">
        <v>25</v>
      </c>
      <c r="D49" s="10">
        <v>133.88999999999999</v>
      </c>
      <c r="E49" s="10">
        <f>D49*Kurzy!$B$5</f>
        <v>3238.7990999999997</v>
      </c>
      <c r="F49" s="11">
        <v>9.5500000000000002E-2</v>
      </c>
      <c r="G49" s="11">
        <f>E49/Přehled!$E$19</f>
        <v>8.5959052708484498E-4</v>
      </c>
    </row>
    <row r="50" spans="1:7">
      <c r="A50" s="1" t="s">
        <v>22</v>
      </c>
      <c r="B50" s="1" t="s">
        <v>76</v>
      </c>
      <c r="C50" s="2" t="s">
        <v>25</v>
      </c>
      <c r="D50" s="3">
        <v>120.24</v>
      </c>
      <c r="E50" s="3">
        <f>D50*Kurzy!$B$5</f>
        <v>2908.6055999999999</v>
      </c>
      <c r="F50" s="4">
        <v>8.5699999999999998E-2</v>
      </c>
      <c r="G50" s="4">
        <f>E50/Přehled!$E$19</f>
        <v>7.7195582176922673E-4</v>
      </c>
    </row>
    <row r="51" spans="1:7">
      <c r="A51" s="1" t="s">
        <v>22</v>
      </c>
      <c r="B51" s="1" t="s">
        <v>77</v>
      </c>
      <c r="C51" s="2" t="s">
        <v>25</v>
      </c>
      <c r="D51" s="3">
        <v>106.66</v>
      </c>
      <c r="E51" s="3">
        <f>D51*Kurzy!$B$5</f>
        <v>2580.1053999999999</v>
      </c>
      <c r="F51" s="4">
        <v>7.5999999999999998E-2</v>
      </c>
      <c r="G51" s="4">
        <f>E51/Přehled!$E$19</f>
        <v>6.8477052519881675E-4</v>
      </c>
    </row>
    <row r="52" spans="1:7">
      <c r="A52" s="1" t="s">
        <v>22</v>
      </c>
      <c r="B52" s="1" t="s">
        <v>78</v>
      </c>
      <c r="C52" s="2" t="s">
        <v>25</v>
      </c>
      <c r="D52" s="3">
        <v>60.06</v>
      </c>
      <c r="E52" s="3">
        <f>D52*Kurzy!$B$5</f>
        <v>1452.8514000000002</v>
      </c>
      <c r="F52" s="4">
        <v>4.2799999999999998E-2</v>
      </c>
      <c r="G52" s="4">
        <f>E52/Přehled!$E$19</f>
        <v>3.8559270338872062E-4</v>
      </c>
    </row>
    <row r="53" spans="1:7">
      <c r="A53" s="1" t="s">
        <v>22</v>
      </c>
      <c r="B53" s="1" t="s">
        <v>79</v>
      </c>
      <c r="C53" s="2" t="s">
        <v>25</v>
      </c>
      <c r="D53" s="3">
        <v>32.33</v>
      </c>
      <c r="E53" s="3">
        <f>D53*Kurzy!$B$5</f>
        <v>782.06269999999995</v>
      </c>
      <c r="F53" s="4">
        <v>2.3E-2</v>
      </c>
      <c r="G53" s="4">
        <f>E53/Přehled!$E$19</f>
        <v>2.0756263903691865E-4</v>
      </c>
    </row>
    <row r="54" spans="1:7">
      <c r="A54" s="1" t="s">
        <v>15</v>
      </c>
      <c r="B54" s="1" t="s">
        <v>80</v>
      </c>
      <c r="C54" s="2" t="s">
        <v>33</v>
      </c>
      <c r="D54" s="3">
        <v>1850.76</v>
      </c>
      <c r="E54" s="3">
        <f>D54*Kurzy!$B$4</f>
        <v>39236.112000000001</v>
      </c>
      <c r="F54" s="4">
        <v>0.23150000000000001</v>
      </c>
      <c r="G54" s="4">
        <f>E54/Přehled!$E$19</f>
        <v>1.041342459149134E-2</v>
      </c>
    </row>
    <row r="55" spans="1:7">
      <c r="A55" s="8" t="s">
        <v>15</v>
      </c>
      <c r="B55" s="8" t="s">
        <v>62</v>
      </c>
      <c r="C55" s="9" t="s">
        <v>9</v>
      </c>
      <c r="D55" s="10">
        <v>23602.85</v>
      </c>
      <c r="E55" s="10">
        <f>D55</f>
        <v>23602.85</v>
      </c>
      <c r="F55" s="11">
        <v>0.13950000000000001</v>
      </c>
      <c r="G55" s="11">
        <f>E55/Přehled!$E$19</f>
        <v>6.2642929202384101E-3</v>
      </c>
    </row>
    <row r="56" spans="1:7">
      <c r="A56" s="1" t="s">
        <v>15</v>
      </c>
      <c r="B56" s="1" t="s">
        <v>81</v>
      </c>
      <c r="C56" s="2" t="s">
        <v>33</v>
      </c>
      <c r="D56" s="3">
        <v>779.11</v>
      </c>
      <c r="E56" s="3">
        <f>D56*Kurzy!$B$4</f>
        <v>16517.132000000001</v>
      </c>
      <c r="F56" s="4">
        <v>0.11119999999999999</v>
      </c>
      <c r="G56" s="4">
        <f>E56/Přehled!$E$19</f>
        <v>4.3837143840783337E-3</v>
      </c>
    </row>
    <row r="57" spans="1:7">
      <c r="A57" s="1" t="s">
        <v>15</v>
      </c>
      <c r="B57" s="1" t="s">
        <v>82</v>
      </c>
      <c r="C57" s="2" t="s">
        <v>33</v>
      </c>
      <c r="D57" s="3">
        <v>662.59</v>
      </c>
      <c r="E57" s="3">
        <f>D57*Kurzy!$B$4</f>
        <v>14046.907999999999</v>
      </c>
      <c r="F57" s="4">
        <v>9.4600000000000004E-2</v>
      </c>
      <c r="G57" s="4">
        <f>E57/Přehled!$E$19</f>
        <v>3.7281068318292193E-3</v>
      </c>
    </row>
    <row r="58" spans="1:7">
      <c r="A58" s="1" t="s">
        <v>15</v>
      </c>
      <c r="B58" s="1" t="s">
        <v>83</v>
      </c>
      <c r="C58" s="2" t="s">
        <v>25</v>
      </c>
      <c r="D58" s="3">
        <v>566.72</v>
      </c>
      <c r="E58" s="3">
        <f>D58*Kurzy!$B$5</f>
        <v>13708.956800000002</v>
      </c>
      <c r="F58" s="4">
        <v>8.09E-2</v>
      </c>
      <c r="G58" s="4">
        <f>E58/Přehled!$E$19</f>
        <v>3.6384132012063893E-3</v>
      </c>
    </row>
    <row r="59" spans="1:7">
      <c r="A59" s="8" t="s">
        <v>15</v>
      </c>
      <c r="B59" s="8" t="s">
        <v>45</v>
      </c>
      <c r="C59" s="9" t="s">
        <v>33</v>
      </c>
      <c r="D59" s="10">
        <v>628.37</v>
      </c>
      <c r="E59" s="10">
        <f>D59*Kurzy!$B$4</f>
        <v>13321.444</v>
      </c>
      <c r="F59" s="11">
        <v>7.8600000000000003E-2</v>
      </c>
      <c r="G59" s="11">
        <f>E59/Přehled!$E$19</f>
        <v>3.5355657192479911E-3</v>
      </c>
    </row>
    <row r="60" spans="1:7">
      <c r="A60" s="8" t="s">
        <v>15</v>
      </c>
      <c r="B60" s="8" t="s">
        <v>84</v>
      </c>
      <c r="C60" s="9" t="s">
        <v>33</v>
      </c>
      <c r="D60" s="10">
        <v>623.39</v>
      </c>
      <c r="E60" s="10">
        <f>D60*Kurzy!$B$4</f>
        <v>13215.867999999999</v>
      </c>
      <c r="F60" s="11">
        <v>7.8E-2</v>
      </c>
      <c r="G60" s="11">
        <f>E60/Přehled!$E$19</f>
        <v>3.5075454170663861E-3</v>
      </c>
    </row>
    <row r="61" spans="1:7">
      <c r="A61" s="1" t="s">
        <v>15</v>
      </c>
      <c r="B61" s="1" t="s">
        <v>85</v>
      </c>
      <c r="C61" s="2" t="s">
        <v>33</v>
      </c>
      <c r="D61" s="3">
        <v>608.89</v>
      </c>
      <c r="E61" s="3">
        <f>D61*Kurzy!$B$4</f>
        <v>12908.467999999999</v>
      </c>
      <c r="F61" s="4">
        <v>7.6200000000000004E-2</v>
      </c>
      <c r="G61" s="4">
        <f>E61/Přehled!$E$19</f>
        <v>3.4259601998709505E-3</v>
      </c>
    </row>
    <row r="62" spans="1:7">
      <c r="A62" s="1" t="s">
        <v>15</v>
      </c>
      <c r="B62" s="1" t="s">
        <v>35</v>
      </c>
      <c r="C62" s="2" t="s">
        <v>25</v>
      </c>
      <c r="D62" s="3">
        <v>471.61</v>
      </c>
      <c r="E62" s="3">
        <f>D62*Kurzy!$B$5</f>
        <v>11408.245900000002</v>
      </c>
      <c r="F62" s="4">
        <v>6.7299999999999999E-2</v>
      </c>
      <c r="G62" s="4">
        <f>E62/Přehled!$E$19</f>
        <v>3.027795118966942E-3</v>
      </c>
    </row>
    <row r="63" spans="1:7">
      <c r="A63" s="1" t="s">
        <v>15</v>
      </c>
      <c r="B63" s="1" t="s">
        <v>86</v>
      </c>
      <c r="C63" s="2" t="s">
        <v>33</v>
      </c>
      <c r="D63" s="3">
        <v>166.75</v>
      </c>
      <c r="E63" s="3">
        <f>D63*Kurzy!$B$4</f>
        <v>3535.1</v>
      </c>
      <c r="F63" s="4">
        <v>2.0899999999999998E-2</v>
      </c>
      <c r="G63" s="4">
        <f>E63/Přehled!$E$19</f>
        <v>9.3822999774750945E-4</v>
      </c>
    </row>
    <row r="64" spans="1:7">
      <c r="A64" s="1" t="s">
        <v>14</v>
      </c>
      <c r="B64" s="1" t="s">
        <v>87</v>
      </c>
      <c r="C64" s="2" t="s">
        <v>33</v>
      </c>
      <c r="D64" s="3">
        <v>2859.72</v>
      </c>
      <c r="E64" s="3">
        <f>D64*Kurzy!$B$4</f>
        <v>60626.063999999991</v>
      </c>
      <c r="F64" s="4">
        <v>0.23300000000000001</v>
      </c>
      <c r="G64" s="4">
        <f>E64/Přehled!$E$19</f>
        <v>1.6090405332284903E-2</v>
      </c>
    </row>
    <row r="65" spans="1:7">
      <c r="A65" s="8" t="s">
        <v>14</v>
      </c>
      <c r="B65" s="8" t="s">
        <v>45</v>
      </c>
      <c r="C65" s="9" t="s">
        <v>33</v>
      </c>
      <c r="D65" s="10">
        <v>1844.82</v>
      </c>
      <c r="E65" s="10">
        <f>D65*Kurzy!$B$4</f>
        <v>39110.183999999994</v>
      </c>
      <c r="F65" s="11">
        <v>0.15029999999999999</v>
      </c>
      <c r="G65" s="11">
        <f>E65/Přehled!$E$19</f>
        <v>1.0380002785274723E-2</v>
      </c>
    </row>
    <row r="66" spans="1:7">
      <c r="A66" s="1" t="s">
        <v>14</v>
      </c>
      <c r="B66" s="1" t="s">
        <v>88</v>
      </c>
      <c r="C66" s="2" t="s">
        <v>25</v>
      </c>
      <c r="D66" s="3">
        <v>1008.53</v>
      </c>
      <c r="E66" s="3">
        <f>D66*Kurzy!$B$5</f>
        <v>24396.340700000001</v>
      </c>
      <c r="F66" s="4">
        <v>9.3799999999999994E-2</v>
      </c>
      <c r="G66" s="4">
        <f>E66/Přehled!$E$19</f>
        <v>6.4748885972132257E-3</v>
      </c>
    </row>
    <row r="67" spans="1:7">
      <c r="A67" s="1" t="s">
        <v>14</v>
      </c>
      <c r="B67" s="1" t="s">
        <v>89</v>
      </c>
      <c r="C67" s="2" t="s">
        <v>33</v>
      </c>
      <c r="D67" s="3">
        <v>1127.07</v>
      </c>
      <c r="E67" s="3">
        <f>D67*Kurzy!$B$4</f>
        <v>23893.883999999998</v>
      </c>
      <c r="F67" s="4">
        <v>9.1800000000000007E-2</v>
      </c>
      <c r="G67" s="4">
        <f>E67/Přehled!$E$19</f>
        <v>6.3415345341006624E-3</v>
      </c>
    </row>
    <row r="68" spans="1:7">
      <c r="A68" s="1" t="s">
        <v>14</v>
      </c>
      <c r="B68" s="1" t="s">
        <v>90</v>
      </c>
      <c r="C68" s="2" t="s">
        <v>25</v>
      </c>
      <c r="D68" s="3">
        <v>872.04</v>
      </c>
      <c r="E68" s="3">
        <f>D68*Kurzy!$B$5</f>
        <v>21094.6476</v>
      </c>
      <c r="F68" s="4">
        <v>8.1100000000000005E-2</v>
      </c>
      <c r="G68" s="4">
        <f>E68/Přehled!$E$19</f>
        <v>5.5986057453063579E-3</v>
      </c>
    </row>
    <row r="69" spans="1:7">
      <c r="A69" s="1" t="s">
        <v>14</v>
      </c>
      <c r="B69" s="1" t="s">
        <v>91</v>
      </c>
      <c r="C69" s="2" t="s">
        <v>33</v>
      </c>
      <c r="D69" s="3">
        <v>981.86</v>
      </c>
      <c r="E69" s="3">
        <f>D69*Kurzy!$B$4</f>
        <v>20815.432000000001</v>
      </c>
      <c r="F69" s="4">
        <v>0.08</v>
      </c>
      <c r="G69" s="4">
        <f>E69/Přehled!$E$19</f>
        <v>5.5245007831386493E-3</v>
      </c>
    </row>
    <row r="70" spans="1:7">
      <c r="A70" s="1" t="s">
        <v>14</v>
      </c>
      <c r="B70" s="1" t="s">
        <v>92</v>
      </c>
      <c r="C70" s="2" t="s">
        <v>25</v>
      </c>
      <c r="D70" s="3">
        <v>756.67</v>
      </c>
      <c r="E70" s="3">
        <f>D70*Kurzy!$B$5</f>
        <v>18303.847300000001</v>
      </c>
      <c r="F70" s="4">
        <v>7.0400000000000004E-2</v>
      </c>
      <c r="G70" s="4">
        <f>E70/Přehled!$E$19</f>
        <v>4.8579159319537659E-3</v>
      </c>
    </row>
    <row r="71" spans="1:7">
      <c r="A71" s="8" t="s">
        <v>14</v>
      </c>
      <c r="B71" s="8" t="s">
        <v>32</v>
      </c>
      <c r="C71" s="9" t="s">
        <v>33</v>
      </c>
      <c r="D71" s="10">
        <v>854.46</v>
      </c>
      <c r="E71" s="10">
        <f>D71*Kurzy!$B$4</f>
        <v>18114.552</v>
      </c>
      <c r="F71" s="11">
        <v>6.9599999999999995E-2</v>
      </c>
      <c r="G71" s="11">
        <f>E71/Přehled!$E$19</f>
        <v>4.8076761851594419E-3</v>
      </c>
    </row>
    <row r="72" spans="1:7">
      <c r="A72" s="1" t="s">
        <v>14</v>
      </c>
      <c r="B72" s="1" t="s">
        <v>93</v>
      </c>
      <c r="C72" s="2" t="s">
        <v>33</v>
      </c>
      <c r="D72" s="3">
        <v>750.94</v>
      </c>
      <c r="E72" s="3">
        <f>D72*Kurzy!$B$4</f>
        <v>15919.928</v>
      </c>
      <c r="F72" s="4">
        <v>6.1199999999999997E-2</v>
      </c>
      <c r="G72" s="4">
        <f>E72/Přehled!$E$19</f>
        <v>4.225214000051063E-3</v>
      </c>
    </row>
    <row r="73" spans="1:7">
      <c r="A73" s="8" t="s">
        <v>14</v>
      </c>
      <c r="B73" s="8" t="s">
        <v>84</v>
      </c>
      <c r="C73" s="9" t="s">
        <v>33</v>
      </c>
      <c r="D73" s="10">
        <v>610.19000000000005</v>
      </c>
      <c r="E73" s="10">
        <f>D73*Kurzy!$B$4</f>
        <v>12936.028</v>
      </c>
      <c r="F73" s="11">
        <v>4.9700000000000001E-2</v>
      </c>
      <c r="G73" s="11">
        <f>E73/Přehled!$E$19</f>
        <v>3.4332747365850244E-3</v>
      </c>
    </row>
    <row r="75" spans="1:7">
      <c r="A75" s="36" t="s">
        <v>94</v>
      </c>
      <c r="B75" s="36"/>
      <c r="C75" s="36"/>
      <c r="D75" s="36"/>
      <c r="E75" s="36"/>
      <c r="F75" s="36"/>
      <c r="G75" s="36"/>
    </row>
  </sheetData>
  <mergeCells count="3">
    <mergeCell ref="A1:G1"/>
    <mergeCell ref="A2:G2"/>
    <mergeCell ref="A75:G7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zoomScaleNormal="100" workbookViewId="0">
      <pane ySplit="4" topLeftCell="A12" activePane="bottomLeft" state="frozen"/>
      <selection pane="bottomLeft" activeCell="C14" sqref="C14"/>
    </sheetView>
  </sheetViews>
  <sheetFormatPr defaultColWidth="8.6328125" defaultRowHeight="14.5"/>
  <cols>
    <col min="1" max="1" width="46" customWidth="1"/>
    <col min="2" max="2" width="52" customWidth="1"/>
    <col min="3" max="3" width="24" customWidth="1"/>
    <col min="4" max="4" width="14" customWidth="1"/>
  </cols>
  <sheetData>
    <row r="1" spans="1:4" ht="24" customHeight="1">
      <c r="A1" s="32" t="s">
        <v>95</v>
      </c>
      <c r="B1" s="32"/>
      <c r="C1" s="32"/>
      <c r="D1" s="32"/>
    </row>
    <row r="2" spans="1:4" ht="15" customHeight="1">
      <c r="A2" s="33" t="s">
        <v>142</v>
      </c>
      <c r="B2" s="34"/>
      <c r="C2" s="34"/>
      <c r="D2" s="34"/>
    </row>
    <row r="4" spans="1:4">
      <c r="A4" s="31" t="s">
        <v>96</v>
      </c>
      <c r="B4" s="31" t="s">
        <v>97</v>
      </c>
      <c r="C4" s="31" t="s">
        <v>98</v>
      </c>
      <c r="D4" s="31" t="s">
        <v>7</v>
      </c>
    </row>
    <row r="5" spans="1:4">
      <c r="A5" s="8" t="s">
        <v>99</v>
      </c>
      <c r="B5" s="8" t="s">
        <v>100</v>
      </c>
      <c r="C5" s="10">
        <f>25287.97+23602.85</f>
        <v>48890.82</v>
      </c>
      <c r="D5" s="11">
        <f>C5/Přehled!$E$19</f>
        <v>1.2975823580230798E-2</v>
      </c>
    </row>
    <row r="6" spans="1:4">
      <c r="A6" s="8" t="s">
        <v>101</v>
      </c>
      <c r="B6" s="8" t="s">
        <v>102</v>
      </c>
      <c r="C6" s="10">
        <f>1326.06*Kurzy!$B$5+281.48*Kurzy!$B$5</f>
        <v>38886.392599999999</v>
      </c>
      <c r="D6" s="11">
        <f>C6/Přehled!$E$19</f>
        <v>1.0320607632459271E-2</v>
      </c>
    </row>
    <row r="7" spans="1:4">
      <c r="A7" s="8" t="s">
        <v>103</v>
      </c>
      <c r="B7" s="8" t="s">
        <v>104</v>
      </c>
      <c r="C7" s="10">
        <f>2218.43*Kurzy!$B$4+854.46*Kurzy!$B$4</f>
        <v>65145.267999999996</v>
      </c>
      <c r="D7" s="11">
        <f>C7/Přehled!$E$19</f>
        <v>1.7289820556391871E-2</v>
      </c>
    </row>
    <row r="8" spans="1:4" ht="25">
      <c r="A8" s="8" t="s">
        <v>105</v>
      </c>
      <c r="B8" s="8" t="s">
        <v>106</v>
      </c>
      <c r="C8" s="10">
        <f>(538.92+2136.31+1486.83+628.37+1844.82)*Kurzy!$B$4</f>
        <v>140667.29999999999</v>
      </c>
      <c r="D8" s="11">
        <f>C8/Přehled!$E$19</f>
        <v>3.7333676716966489E-2</v>
      </c>
    </row>
    <row r="9" spans="1:4" ht="25">
      <c r="A9" s="8" t="s">
        <v>107</v>
      </c>
      <c r="B9" s="8" t="s">
        <v>108</v>
      </c>
      <c r="C9" s="10">
        <f>(869.94+792.62+471.61+756.67)*Kurzy!$B$5</f>
        <v>69929.419600000008</v>
      </c>
      <c r="D9" s="11">
        <f>C9/Přehled!$E$19</f>
        <v>1.8559553957113704E-2</v>
      </c>
    </row>
    <row r="10" spans="1:4">
      <c r="A10" s="8" t="s">
        <v>84</v>
      </c>
      <c r="B10" s="8" t="s">
        <v>109</v>
      </c>
      <c r="C10" s="10">
        <f>(623.39+610.19)*Kurzy!$B$4</f>
        <v>26151.895999999997</v>
      </c>
      <c r="D10" s="11">
        <f>C10/Přehled!$E$19</f>
        <v>6.9408201536514105E-3</v>
      </c>
    </row>
    <row r="11" spans="1:4">
      <c r="A11" s="8" t="s">
        <v>110</v>
      </c>
      <c r="B11" s="8" t="s">
        <v>111</v>
      </c>
      <c r="C11" s="10">
        <f>(228.03+133.89)*Kurzy!$B$5</f>
        <v>8754.8447999999989</v>
      </c>
      <c r="D11" s="11">
        <f>C11/Přehled!$E$19</f>
        <v>2.3235716152255367E-3</v>
      </c>
    </row>
    <row r="13" spans="1:4">
      <c r="A13" s="35" t="s">
        <v>112</v>
      </c>
      <c r="B13" s="35"/>
      <c r="C13" s="35"/>
      <c r="D13" s="35"/>
    </row>
    <row r="14" spans="1:4">
      <c r="A14" s="1" t="s">
        <v>113</v>
      </c>
      <c r="B14" s="1" t="s">
        <v>114</v>
      </c>
      <c r="C14" s="3">
        <f>89865.5</f>
        <v>89865.5</v>
      </c>
      <c r="D14" s="4">
        <f>C14/Přehled!$E$19</f>
        <v>2.3850671229266162E-2</v>
      </c>
    </row>
    <row r="15" spans="1:4">
      <c r="A15" s="1" t="s">
        <v>115</v>
      </c>
      <c r="B15" s="1" t="s">
        <v>116</v>
      </c>
      <c r="C15" s="3">
        <f>25287.97+23602.85</f>
        <v>48890.82</v>
      </c>
      <c r="D15" s="4">
        <f>C15/Přehled!$E$19</f>
        <v>1.2975823580230798E-2</v>
      </c>
    </row>
    <row r="16" spans="1:4">
      <c r="A16" s="1" t="s">
        <v>117</v>
      </c>
      <c r="B16" s="1" t="s">
        <v>118</v>
      </c>
      <c r="C16" s="3">
        <f>1326.06*Kurzy!$B$5+281.48*Kurzy!$B$5</f>
        <v>38886.392599999999</v>
      </c>
      <c r="D16" s="4">
        <f>C16/Přehled!$E$19</f>
        <v>1.0320607632459271E-2</v>
      </c>
    </row>
    <row r="17" spans="1:4">
      <c r="A17" s="1" t="s">
        <v>119</v>
      </c>
      <c r="B17" s="1" t="s">
        <v>120</v>
      </c>
      <c r="C17" s="3">
        <f>55561</f>
        <v>55561</v>
      </c>
      <c r="D17" s="4">
        <f>C17/Přehled!$E$19</f>
        <v>1.4746116631735843E-2</v>
      </c>
    </row>
    <row r="18" spans="1:4">
      <c r="A18" s="1" t="s">
        <v>121</v>
      </c>
      <c r="B18" s="1" t="s">
        <v>22</v>
      </c>
      <c r="C18" s="3">
        <f>258.33*Kurzy!$B$5</f>
        <v>6249.0027</v>
      </c>
      <c r="D18" s="4">
        <f>C18/Přehled!$E$19</f>
        <v>1.6585108735665698E-3</v>
      </c>
    </row>
    <row r="19" spans="1:4">
      <c r="A19" s="1" t="s">
        <v>122</v>
      </c>
      <c r="B19" s="1" t="s">
        <v>15</v>
      </c>
      <c r="C19" s="3">
        <f>779.11*Kurzy!$B$4</f>
        <v>16517.132000000001</v>
      </c>
      <c r="D19" s="4">
        <f>C19/Přehled!$E$19</f>
        <v>4.3837143840783337E-3</v>
      </c>
    </row>
    <row r="20" spans="1:4">
      <c r="A20" s="5" t="s">
        <v>123</v>
      </c>
      <c r="B20" s="5"/>
      <c r="C20" s="6">
        <f>SUM(C14:C19)</f>
        <v>255969.84730000002</v>
      </c>
      <c r="D20" s="7">
        <f>C20/Přehled!$E$19</f>
        <v>6.7935444331336983E-2</v>
      </c>
    </row>
    <row r="22" spans="1:4" ht="27.75" customHeight="1">
      <c r="A22" s="36" t="s">
        <v>124</v>
      </c>
      <c r="B22" s="36"/>
      <c r="C22" s="36"/>
      <c r="D22" s="36"/>
    </row>
    <row r="23" spans="1:4" ht="27.75" customHeight="1">
      <c r="A23" s="36" t="s">
        <v>125</v>
      </c>
      <c r="B23" s="36"/>
      <c r="C23" s="36"/>
      <c r="D23" s="36"/>
    </row>
  </sheetData>
  <mergeCells count="5">
    <mergeCell ref="A1:D1"/>
    <mergeCell ref="A2:D2"/>
    <mergeCell ref="A13:D13"/>
    <mergeCell ref="A22:D22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>
      <selection activeCell="B14" sqref="B14"/>
    </sheetView>
  </sheetViews>
  <sheetFormatPr defaultColWidth="8.6328125" defaultRowHeight="14.5"/>
  <cols>
    <col min="1" max="1" width="16" customWidth="1"/>
    <col min="2" max="2" width="70" customWidth="1"/>
  </cols>
  <sheetData>
    <row r="1" spans="1:2" ht="15.5">
      <c r="A1" s="12" t="s">
        <v>126</v>
      </c>
    </row>
    <row r="3" spans="1:2">
      <c r="A3" s="13" t="s">
        <v>127</v>
      </c>
      <c r="B3" s="14" t="s">
        <v>128</v>
      </c>
    </row>
    <row r="4" spans="1:2">
      <c r="A4" s="13" t="s">
        <v>129</v>
      </c>
      <c r="B4" s="15">
        <v>21.2</v>
      </c>
    </row>
    <row r="5" spans="1:2">
      <c r="A5" s="13" t="s">
        <v>130</v>
      </c>
      <c r="B5" s="15">
        <v>24.19</v>
      </c>
    </row>
    <row r="6" spans="1:2">
      <c r="A6" s="13" t="s">
        <v>131</v>
      </c>
      <c r="B6" s="16" t="s">
        <v>9</v>
      </c>
    </row>
    <row r="7" spans="1:2">
      <c r="A7" s="13" t="s">
        <v>132</v>
      </c>
      <c r="B7" s="16" t="s">
        <v>134</v>
      </c>
    </row>
    <row r="9" spans="1:2">
      <c r="A9" s="17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Přehled</vt:lpstr>
      <vt:lpstr>Detail</vt:lpstr>
      <vt:lpstr>Překryvy</vt:lpstr>
      <vt:lpstr>Kurzy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Marek Pokorny, Portu.cz</cp:lastModifiedBy>
  <cp:revision>0</cp:revision>
  <dcterms:created xsi:type="dcterms:W3CDTF">2026-07-21T16:34:22Z</dcterms:created>
  <dcterms:modified xsi:type="dcterms:W3CDTF">2026-10-08T17:55:48Z</dcterms:modified>
  <dc:language>en-US</dc:language>
</cp:coreProperties>
</file>