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ředpoklady" sheetId="1" state="visible" r:id="rId3"/>
    <sheet name="Výsledky" sheetId="2" state="visible" r:id="rId4"/>
    <sheet name="Měsíce" sheetId="3" state="visible" r:id="rId5"/>
    <sheet name="Rok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<sst xmlns="http://schemas.openxmlformats.org/spreadsheetml/2006/main" count="55" uniqueCount="44">
  <si>
    <t xml:space="preserve">Model DIP – předpoklady</t>
  </si>
  <si>
    <t xml:space="preserve">Modré buňky se žlutým podkladem jsou vstupy – změňte je a celý sešit se přepočítá.</t>
  </si>
  <si>
    <t xml:space="preserve">Měsíční vklad</t>
  </si>
  <si>
    <t xml:space="preserve">Zadání (Ája B., Marek P.): 4 000 Kč měsíčně.</t>
  </si>
  <si>
    <t xml:space="preserve">Očekávaný roční výnos (po poplatcích)</t>
  </si>
  <si>
    <t xml:space="preserve">Zadání: 7 % p. a. Stejný výnos u všech scénářů (DIP i investice mimo DIP).</t>
  </si>
  <si>
    <t xml:space="preserve">Roční limit odpočtu příspěvků na DIP</t>
  </si>
  <si>
    <t xml:space="preserve">Zákon o daních z příjmů, § 15a: společný limit 48 000 Kč ročně pro DIP, penzijní spoření a životní pojištění (od 2024).</t>
  </si>
  <si>
    <t xml:space="preserve">Sazba daně z příjmů</t>
  </si>
  <si>
    <t xml:space="preserve">15 % (do 36násobku průměrné mzdy). Nad tuto hranici 23 % – pak je úspora vyšší.</t>
  </si>
  <si>
    <t xml:space="preserve">Měsíc vrácení daně v následujícím roce</t>
  </si>
  <si>
    <t xml:space="preserve">Přeplatek na dani vrací finanční úřad typicky v dubnu po podání přiznání (u zaměstnance po ročním zúčtování podobně).</t>
  </si>
  <si>
    <t xml:space="preserve">Měsíční výnos (odvozený)</t>
  </si>
  <si>
    <t xml:space="preserve">Měsíční výnos tak, aby za 12 měsíců dal přesně roční výnos z B5.</t>
  </si>
  <si>
    <t xml:space="preserve">Roční vklady</t>
  </si>
  <si>
    <t xml:space="preserve">Roční daňová úspora</t>
  </si>
  <si>
    <t xml:space="preserve">Odečitatelné příspěvky (max. limit) × sazba daně.</t>
  </si>
  <si>
    <t xml:space="preserve">Scénáře</t>
  </si>
  <si>
    <t xml:space="preserve">Bez DIP s fixací</t>
  </si>
  <si>
    <t xml:space="preserve">Stejný měsíční vklad a výnos, bez daňového zvýhodnění. Investice držená stejně dlouho (výnos z cenných papírů držených déle než 3 roky je osvobozen od daně, takže se nedaní ani mimo DIP).</t>
  </si>
  <si>
    <t xml:space="preserve">DIP + daňová úspora</t>
  </si>
  <si>
    <t xml:space="preserve">Investice v DIP + vrácená daň za každý rok ponechaná jako hotovost (bez dalšího zhodnocení).</t>
  </si>
  <si>
    <t xml:space="preserve">DIP + reinvestovaná daňová úspora</t>
  </si>
  <si>
    <t xml:space="preserve">Investice v DIP + vrácená daň investovaná v měsíci vrácení se stejným výnosem. Reinvestovaná úspora už další odpočet nepřináší – limit 48 000 Kč je vyčerpán samotnými vklady.</t>
  </si>
  <si>
    <t xml:space="preserve">Další předpoklady</t>
  </si>
  <si>
    <t xml:space="preserve">• Vklad vždy na začátku měsíce; zhodnocení měsíčně.</t>
  </si>
  <si>
    <t xml:space="preserve">• Daňová úspora za poslední rok horizontu se vrací až v dubnu následujícího roku – na konci horizontu je započtená jako nárok (hotovost k připsání).</t>
  </si>
  <si>
    <t xml:space="preserve">• Podmínky DIP: výběr nejdříve po 120 měsících a zároveň po 60. roce věku, jinak se úspora vrací. Horizonty 10/20/30 let odpovídají investorům ve věku 50/40/30 let.</t>
  </si>
  <si>
    <t xml:space="preserve">• Bez inflace, bez poplatků navíc (výnos 7 % je čistý), bez příspěvků zaměstnavatele.</t>
  </si>
  <si>
    <t xml:space="preserve">DIP – výsledky pro horizonty 10, 20 a 30 let</t>
  </si>
  <si>
    <t xml:space="preserve">Horizont (let)</t>
  </si>
  <si>
    <t xml:space="preserve">Vloženo celkem</t>
  </si>
  <si>
    <t xml:space="preserve">Výhoda DIP oproti fixaci</t>
  </si>
  <si>
    <t xml:space="preserve">Výhoda DIP s reinvestováním</t>
  </si>
  <si>
    <t xml:space="preserve">Pro investora ve věku</t>
  </si>
  <si>
    <t xml:space="preserve">Výpočet: list Měsíce (měsíční model) → Roky (stav ke konci roku) → Výsledky. Předpoklady a zdroje: list Předpoklady.</t>
  </si>
  <si>
    <t xml:space="preserve">Měsíc</t>
  </si>
  <si>
    <t xml:space="preserve">Rok</t>
  </si>
  <si>
    <t xml:space="preserve">Vklad</t>
  </si>
  <si>
    <t xml:space="preserve">Hodnota investice (konec měsíce)</t>
  </si>
  <si>
    <t xml:space="preserve">Vrácená daň v měsíci</t>
  </si>
  <si>
    <t xml:space="preserve">Vrácená daň kumulovaně (hotovost)</t>
  </si>
  <si>
    <t xml:space="preserve">Reinvestovaná daňová úspora (hodnota)</t>
  </si>
  <si>
    <t xml:space="preserve">Hodnoty ke konci roku. Daňová úspora za právě skončený rok je započtená jako nárok (vrací se v dubnu dalšího roku).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</si>
</sst>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Kč&quot;;\-#,##0&quot; Kč&quot;;\-"/>
    <numFmt numFmtId="166" formatCode="0.0%"/>
    <numFmt numFmtId="167" formatCode="0"/>
    <numFmt numFmtId="168" formatCode="0.00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BF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B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4000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v>0.07</v>
      </c>
      <c r="C5" s="5" t="s">
        <v>5</v>
      </c>
    </row>
    <row r="6" customFormat="false" ht="15" hidden="false" customHeight="false" outlineLevel="0" collapsed="false">
      <c r="A6" s="3" t="s">
        <v>6</v>
      </c>
      <c r="B6" s="4" t="n">
        <v>48000</v>
      </c>
      <c r="C6" s="5" t="s">
        <v>7</v>
      </c>
    </row>
    <row r="7" customFormat="false" ht="15" hidden="false" customHeight="false" outlineLevel="0" collapsed="false">
      <c r="A7" s="3" t="s">
        <v>8</v>
      </c>
      <c r="B7" s="6" t="n">
        <v>0.15</v>
      </c>
      <c r="C7" s="5" t="s">
        <v>9</v>
      </c>
    </row>
    <row r="8" customFormat="false" ht="15" hidden="false" customHeight="false" outlineLevel="0" collapsed="false">
      <c r="A8" s="3" t="s">
        <v>10</v>
      </c>
      <c r="B8" s="7" t="n">
        <v>4</v>
      </c>
      <c r="C8" s="5" t="s">
        <v>11</v>
      </c>
    </row>
    <row r="10" customFormat="false" ht="15" hidden="false" customHeight="false" outlineLevel="0" collapsed="false">
      <c r="A10" s="3" t="s">
        <v>12</v>
      </c>
      <c r="B10" s="8" t="n">
        <f aca="false">(1+B5)^(1/12)-1</f>
        <v>0.00565414538740527</v>
      </c>
      <c r="C10" s="5" t="s">
        <v>13</v>
      </c>
    </row>
    <row r="11" customFormat="false" ht="15" hidden="false" customHeight="false" outlineLevel="0" collapsed="false">
      <c r="A11" s="3" t="s">
        <v>14</v>
      </c>
      <c r="B11" s="9" t="n">
        <f aca="false">B4*12</f>
        <v>48000</v>
      </c>
      <c r="C11" s="5"/>
    </row>
    <row r="12" customFormat="false" ht="15" hidden="false" customHeight="false" outlineLevel="0" collapsed="false">
      <c r="A12" s="3" t="s">
        <v>15</v>
      </c>
      <c r="B12" s="9" t="n">
        <f aca="false">MIN(B11,B6)*B7</f>
        <v>7200</v>
      </c>
      <c r="C12" s="5" t="s">
        <v>16</v>
      </c>
    </row>
    <row r="14" customFormat="false" ht="15" hidden="false" customHeight="false" outlineLevel="0" collapsed="false">
      <c r="A14" s="10" t="s">
        <v>17</v>
      </c>
    </row>
    <row r="15" customFormat="false" ht="15" hidden="false" customHeight="false" outlineLevel="0" collapsed="false">
      <c r="A15" s="3" t="s">
        <v>18</v>
      </c>
      <c r="C15" s="5" t="s">
        <v>19</v>
      </c>
    </row>
    <row r="16" customFormat="false" ht="15" hidden="false" customHeight="false" outlineLevel="0" collapsed="false">
      <c r="A16" s="3" t="s">
        <v>20</v>
      </c>
      <c r="C16" s="5" t="s">
        <v>21</v>
      </c>
    </row>
    <row r="17" customFormat="false" ht="15" hidden="false" customHeight="false" outlineLevel="0" collapsed="false">
      <c r="A17" s="3" t="s">
        <v>22</v>
      </c>
      <c r="C17" s="5" t="s">
        <v>23</v>
      </c>
    </row>
    <row r="19" customFormat="false" ht="15" hidden="false" customHeight="false" outlineLevel="0" collapsed="false">
      <c r="A19" s="10" t="s">
        <v>24</v>
      </c>
    </row>
    <row r="20" customFormat="false" ht="15" hidden="false" customHeight="false" outlineLevel="0" collapsed="false">
      <c r="A20" s="11" t="s">
        <v>25</v>
      </c>
    </row>
    <row r="21" customFormat="false" ht="15" hidden="false" customHeight="false" outlineLevel="0" collapsed="false">
      <c r="A21" s="11" t="s">
        <v>26</v>
      </c>
    </row>
    <row r="22" customFormat="false" ht="15" hidden="false" customHeight="false" outlineLevel="0" collapsed="false">
      <c r="A22" s="11" t="s">
        <v>27</v>
      </c>
    </row>
    <row r="23" customFormat="false" ht="15" hidden="false" customHeight="false" outlineLevel="0" collapsed="false">
      <c r="A23" s="1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29</v>
      </c>
    </row>
    <row r="3" customFormat="false" ht="42" hidden="false" customHeight="true" outlineLevel="0" collapsed="false">
      <c r="A3" s="12" t="s">
        <v>30</v>
      </c>
      <c r="B3" s="12" t="s">
        <v>31</v>
      </c>
      <c r="C3" s="12" t="s">
        <v>18</v>
      </c>
      <c r="D3" s="12" t="s">
        <v>20</v>
      </c>
      <c r="E3" s="12" t="s">
        <v>22</v>
      </c>
      <c r="F3" s="12" t="s">
        <v>32</v>
      </c>
      <c r="G3" s="12" t="s">
        <v>33</v>
      </c>
      <c r="H3" s="12" t="s">
        <v>34</v>
      </c>
    </row>
    <row r="4" customFormat="false" ht="15" hidden="false" customHeight="false" outlineLevel="0" collapsed="false">
      <c r="A4" s="13" t="n">
        <v>10</v>
      </c>
      <c r="B4" s="14" t="n">
        <f aca="false">INDEX(Roky!$C$2:$C$32,A4+1)</f>
        <v>480000</v>
      </c>
      <c r="C4" s="14" t="n">
        <f aca="false">INDEX(Roky!$D$2:$D$32,A4+1)</f>
        <v>688075.5304537</v>
      </c>
      <c r="D4" s="14" t="n">
        <f aca="false">INDEX(Roky!$E$2:$E$32,A4+1)</f>
        <v>760075.5304537</v>
      </c>
      <c r="E4" s="14" t="n">
        <f aca="false">INDEX(Roky!$F$2:$F$32,A4+1)</f>
        <v>785496.103732858</v>
      </c>
      <c r="F4" s="14" t="n">
        <f aca="false">INDEX(Roky!$G$2:$G$32,A4+1)</f>
        <v>72000</v>
      </c>
      <c r="G4" s="14" t="n">
        <f aca="false">INDEX(Roky!$H$2:$H$32,A4+1)</f>
        <v>97420.5732791586</v>
      </c>
      <c r="H4" s="15" t="str">
        <f aca="false">60-A4&amp;" let"</f>
        <v>50 let</v>
      </c>
    </row>
    <row r="5" customFormat="false" ht="15" hidden="false" customHeight="false" outlineLevel="0" collapsed="false">
      <c r="A5" s="13" t="n">
        <v>20</v>
      </c>
      <c r="B5" s="14" t="n">
        <f aca="false">INDEX(Roky!$C$2:$C$32,A5+1)</f>
        <v>960000</v>
      </c>
      <c r="C5" s="14" t="n">
        <f aca="false">INDEX(Roky!$D$2:$D$32,A5+1)</f>
        <v>2041624.24410343</v>
      </c>
      <c r="D5" s="14" t="n">
        <f aca="false">INDEX(Roky!$E$2:$E$32,A5+1)</f>
        <v>2185624.24410343</v>
      </c>
      <c r="E5" s="14" t="n">
        <f aca="false">INDEX(Roky!$F$2:$F$32,A5+1)</f>
        <v>2330369.97789061</v>
      </c>
      <c r="F5" s="14" t="n">
        <f aca="false">INDEX(Roky!$G$2:$G$32,A5+1)</f>
        <v>144000</v>
      </c>
      <c r="G5" s="14" t="n">
        <f aca="false">INDEX(Roky!$H$2:$H$32,A5+1)</f>
        <v>288745.73378718</v>
      </c>
      <c r="H5" s="15" t="str">
        <f aca="false">60-A5&amp;" let"</f>
        <v>40 let</v>
      </c>
    </row>
    <row r="6" customFormat="false" ht="15" hidden="false" customHeight="false" outlineLevel="0" collapsed="false">
      <c r="A6" s="13" t="n">
        <v>30</v>
      </c>
      <c r="B6" s="14" t="n">
        <f aca="false">INDEX(Roky!$C$2:$C$32,A6+1)</f>
        <v>1440000</v>
      </c>
      <c r="C6" s="14" t="n">
        <f aca="false">INDEX(Roky!$D$2:$D$32,A6+1)</f>
        <v>4704259.43331705</v>
      </c>
      <c r="D6" s="14" t="n">
        <f aca="false">INDEX(Roky!$E$2:$E$32,A6+1)</f>
        <v>4920259.43331705</v>
      </c>
      <c r="E6" s="14" t="n">
        <f aca="false">INDEX(Roky!$F$2:$F$32,A6+1)</f>
        <v>5369370.71628123</v>
      </c>
      <c r="F6" s="14" t="n">
        <f aca="false">INDEX(Roky!$G$2:$G$32,A6+1)</f>
        <v>216000</v>
      </c>
      <c r="G6" s="14" t="n">
        <f aca="false">INDEX(Roky!$H$2:$H$32,A6+1)</f>
        <v>665111.28296418</v>
      </c>
      <c r="H6" s="15" t="str">
        <f aca="false">60-A6&amp;" let"</f>
        <v>30 let</v>
      </c>
    </row>
    <row r="8" customFormat="false" ht="15" hidden="false" customHeight="false" outlineLevel="0" collapsed="false">
      <c r="A8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42" hidden="false" customHeight="true" outlineLevel="0" collapsed="false">
      <c r="A1" s="12" t="s">
        <v>36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</row>
    <row r="2" customFormat="false" ht="15" hidden="false" customHeight="false" outlineLevel="0" collapsed="false">
      <c r="A2" s="15" t="n">
        <v>1</v>
      </c>
      <c r="B2" s="15" t="n">
        <f aca="false">ROUNDUP(A2/12,0)</f>
        <v>1</v>
      </c>
      <c r="C2" s="14" t="n">
        <f aca="false">Předpoklady!$B$4</f>
        <v>4000</v>
      </c>
      <c r="D2" s="16" t="n">
        <f aca="false">(0+C2)*(1+Předpoklady!$B$10)</f>
        <v>4022.61658154962</v>
      </c>
      <c r="E2" s="16" t="n">
        <f aca="false">IF(AND(A2&gt;12,MOD(A2,12)=Předpoklady!$B$8),Předpoklady!$B$12,0)</f>
        <v>0</v>
      </c>
      <c r="F2" s="16" t="n">
        <f aca="false">0+E2</f>
        <v>0</v>
      </c>
      <c r="G2" s="16" t="n">
        <f aca="false">0*(1+Předpoklady!$B$10)+E2</f>
        <v>0</v>
      </c>
    </row>
    <row r="3" customFormat="false" ht="15" hidden="false" customHeight="false" outlineLevel="0" collapsed="false">
      <c r="A3" s="15" t="n">
        <v>2</v>
      </c>
      <c r="B3" s="15" t="n">
        <f aca="false">ROUNDUP(A3/12,0)</f>
        <v>1</v>
      </c>
      <c r="C3" s="14" t="n">
        <f aca="false">Předpoklady!$B$4</f>
        <v>4000</v>
      </c>
      <c r="D3" s="16" t="n">
        <f aca="false">(D2+C3)*(1+Předpoklady!$B$10)</f>
        <v>8067.97762208911</v>
      </c>
      <c r="E3" s="16" t="n">
        <f aca="false">IF(AND(A3&gt;12,MOD(A3,12)=Předpoklady!$B$8),Předpoklady!$B$12,0)</f>
        <v>0</v>
      </c>
      <c r="F3" s="16" t="n">
        <f aca="false">F2+E3</f>
        <v>0</v>
      </c>
      <c r="G3" s="16" t="n">
        <f aca="false">G2*(1+Předpoklady!$B$10)+E3</f>
        <v>0</v>
      </c>
    </row>
    <row r="4" customFormat="false" ht="15" hidden="false" customHeight="false" outlineLevel="0" collapsed="false">
      <c r="A4" s="15" t="n">
        <v>3</v>
      </c>
      <c r="B4" s="15" t="n">
        <f aca="false">ROUNDUP(A4/12,0)</f>
        <v>1</v>
      </c>
      <c r="C4" s="14" t="n">
        <f aca="false">Předpoklady!$B$4</f>
        <v>4000</v>
      </c>
      <c r="D4" s="16" t="n">
        <f aca="false">(D3+C4)*(1+Předpoklady!$B$10)</f>
        <v>12136.2117220964</v>
      </c>
      <c r="E4" s="16" t="n">
        <f aca="false">IF(AND(A4&gt;12,MOD(A4,12)=Předpoklady!$B$8),Předpoklady!$B$12,0)</f>
        <v>0</v>
      </c>
      <c r="F4" s="16" t="n">
        <f aca="false">F3+E4</f>
        <v>0</v>
      </c>
      <c r="G4" s="16" t="n">
        <f aca="false">G3*(1+Předpoklady!$B$10)+E4</f>
        <v>0</v>
      </c>
    </row>
    <row r="5" customFormat="false" ht="15" hidden="false" customHeight="false" outlineLevel="0" collapsed="false">
      <c r="A5" s="15" t="n">
        <v>4</v>
      </c>
      <c r="B5" s="15" t="n">
        <f aca="false">ROUNDUP(A5/12,0)</f>
        <v>1</v>
      </c>
      <c r="C5" s="14" t="n">
        <f aca="false">Předpoklady!$B$4</f>
        <v>4000</v>
      </c>
      <c r="D5" s="16" t="n">
        <f aca="false">(D4+C5)*(1+Předpoklady!$B$10)</f>
        <v>16227.448209175</v>
      </c>
      <c r="E5" s="16" t="n">
        <f aca="false">IF(AND(A5&gt;12,MOD(A5,12)=Předpoklady!$B$8),Předpoklady!$B$12,0)</f>
        <v>0</v>
      </c>
      <c r="F5" s="16" t="n">
        <f aca="false">F4+E5</f>
        <v>0</v>
      </c>
      <c r="G5" s="16" t="n">
        <f aca="false">G4*(1+Předpoklady!$B$10)+E5</f>
        <v>0</v>
      </c>
    </row>
    <row r="6" customFormat="false" ht="15" hidden="false" customHeight="false" outlineLevel="0" collapsed="false">
      <c r="A6" s="15" t="n">
        <v>5</v>
      </c>
      <c r="B6" s="15" t="n">
        <f aca="false">ROUNDUP(A6/12,0)</f>
        <v>1</v>
      </c>
      <c r="C6" s="14" t="n">
        <f aca="false">Předpoklady!$B$4</f>
        <v>4000</v>
      </c>
      <c r="D6" s="16" t="n">
        <f aca="false">(D5+C6)*(1+Předpoklady!$B$10)</f>
        <v>20341.8171421659</v>
      </c>
      <c r="E6" s="16" t="n">
        <f aca="false">IF(AND(A6&gt;12,MOD(A6,12)=Předpoklady!$B$8),Předpoklady!$B$12,0)</f>
        <v>0</v>
      </c>
      <c r="F6" s="16" t="n">
        <f aca="false">F5+E6</f>
        <v>0</v>
      </c>
      <c r="G6" s="16" t="n">
        <f aca="false">G5*(1+Předpoklady!$B$10)+E6</f>
        <v>0</v>
      </c>
    </row>
    <row r="7" customFormat="false" ht="15" hidden="false" customHeight="false" outlineLevel="0" collapsed="false">
      <c r="A7" s="15" t="n">
        <v>6</v>
      </c>
      <c r="B7" s="15" t="n">
        <f aca="false">ROUNDUP(A7/12,0)</f>
        <v>1</v>
      </c>
      <c r="C7" s="14" t="n">
        <f aca="false">Předpoklady!$B$4</f>
        <v>4000</v>
      </c>
      <c r="D7" s="16" t="n">
        <f aca="false">(D6+C7)*(1+Předpoklady!$B$10)</f>
        <v>24479.4493152814</v>
      </c>
      <c r="E7" s="16" t="n">
        <f aca="false">IF(AND(A7&gt;12,MOD(A7,12)=Předpoklady!$B$8),Předpoklady!$B$12,0)</f>
        <v>0</v>
      </c>
      <c r="F7" s="16" t="n">
        <f aca="false">F6+E7</f>
        <v>0</v>
      </c>
      <c r="G7" s="16" t="n">
        <f aca="false">G6*(1+Předpoklady!$B$10)+E7</f>
        <v>0</v>
      </c>
    </row>
    <row r="8" customFormat="false" ht="15" hidden="false" customHeight="false" outlineLevel="0" collapsed="false">
      <c r="A8" s="15" t="n">
        <v>7</v>
      </c>
      <c r="B8" s="15" t="n">
        <f aca="false">ROUNDUP(A8/12,0)</f>
        <v>1</v>
      </c>
      <c r="C8" s="14" t="n">
        <f aca="false">Předpoklady!$B$4</f>
        <v>4000</v>
      </c>
      <c r="D8" s="16" t="n">
        <f aca="false">(D7+C8)*(1+Předpoklady!$B$10)</f>
        <v>28640.4762622632</v>
      </c>
      <c r="E8" s="16" t="n">
        <f aca="false">IF(AND(A8&gt;12,MOD(A8,12)=Předpoklady!$B$8),Předpoklady!$B$12,0)</f>
        <v>0</v>
      </c>
      <c r="F8" s="16" t="n">
        <f aca="false">F7+E8</f>
        <v>0</v>
      </c>
      <c r="G8" s="16" t="n">
        <f aca="false">G7*(1+Předpoklady!$B$10)+E8</f>
        <v>0</v>
      </c>
    </row>
    <row r="9" customFormat="false" ht="15" hidden="false" customHeight="false" outlineLevel="0" collapsed="false">
      <c r="A9" s="15" t="n">
        <v>8</v>
      </c>
      <c r="B9" s="15" t="n">
        <f aca="false">ROUNDUP(A9/12,0)</f>
        <v>1</v>
      </c>
      <c r="C9" s="14" t="n">
        <f aca="false">Předpoklady!$B$4</f>
        <v>4000</v>
      </c>
      <c r="D9" s="16" t="n">
        <f aca="false">(D8+C9)*(1+Předpoklady!$B$10)</f>
        <v>32825.0302605642</v>
      </c>
      <c r="E9" s="16" t="n">
        <f aca="false">IF(AND(A9&gt;12,MOD(A9,12)=Předpoklady!$B$8),Předpoklady!$B$12,0)</f>
        <v>0</v>
      </c>
      <c r="F9" s="16" t="n">
        <f aca="false">F8+E9</f>
        <v>0</v>
      </c>
      <c r="G9" s="16" t="n">
        <f aca="false">G8*(1+Předpoklady!$B$10)+E9</f>
        <v>0</v>
      </c>
    </row>
    <row r="10" customFormat="false" ht="15" hidden="false" customHeight="false" outlineLevel="0" collapsed="false">
      <c r="A10" s="15" t="n">
        <v>9</v>
      </c>
      <c r="B10" s="15" t="n">
        <f aca="false">ROUNDUP(A10/12,0)</f>
        <v>1</v>
      </c>
      <c r="C10" s="14" t="n">
        <f aca="false">Předpoklady!$B$4</f>
        <v>4000</v>
      </c>
      <c r="D10" s="16" t="n">
        <f aca="false">(D9+C10)*(1+Předpoklady!$B$10)</f>
        <v>37033.244335553</v>
      </c>
      <c r="E10" s="16" t="n">
        <f aca="false">IF(AND(A10&gt;12,MOD(A10,12)=Předpoklady!$B$8),Předpoklady!$B$12,0)</f>
        <v>0</v>
      </c>
      <c r="F10" s="16" t="n">
        <f aca="false">F9+E10</f>
        <v>0</v>
      </c>
      <c r="G10" s="16" t="n">
        <f aca="false">G9*(1+Předpoklady!$B$10)+E10</f>
        <v>0</v>
      </c>
    </row>
    <row r="11" customFormat="false" ht="15" hidden="false" customHeight="false" outlineLevel="0" collapsed="false">
      <c r="A11" s="15" t="n">
        <v>10</v>
      </c>
      <c r="B11" s="15" t="n">
        <f aca="false">ROUNDUP(A11/12,0)</f>
        <v>1</v>
      </c>
      <c r="C11" s="14" t="n">
        <f aca="false">Předpoklady!$B$4</f>
        <v>4000</v>
      </c>
      <c r="D11" s="16" t="n">
        <f aca="false">(D10+C11)*(1+Předpoklady!$B$10)</f>
        <v>41265.2522647432</v>
      </c>
      <c r="E11" s="16" t="n">
        <f aca="false">IF(AND(A11&gt;12,MOD(A11,12)=Předpoklady!$B$8),Předpoklady!$B$12,0)</f>
        <v>0</v>
      </c>
      <c r="F11" s="16" t="n">
        <f aca="false">F10+E11</f>
        <v>0</v>
      </c>
      <c r="G11" s="16" t="n">
        <f aca="false">G10*(1+Předpoklady!$B$10)+E11</f>
        <v>0</v>
      </c>
    </row>
    <row r="12" customFormat="false" ht="15" hidden="false" customHeight="false" outlineLevel="0" collapsed="false">
      <c r="A12" s="15" t="n">
        <v>11</v>
      </c>
      <c r="B12" s="15" t="n">
        <f aca="false">ROUNDUP(A12/12,0)</f>
        <v>1</v>
      </c>
      <c r="C12" s="14" t="n">
        <f aca="false">Předpoklady!$B$4</f>
        <v>4000</v>
      </c>
      <c r="D12" s="16" t="n">
        <f aca="false">(D11+C12)*(1+Předpoklady!$B$10)</f>
        <v>45521.1885820456</v>
      </c>
      <c r="E12" s="16" t="n">
        <f aca="false">IF(AND(A12&gt;12,MOD(A12,12)=Předpoklady!$B$8),Předpoklady!$B$12,0)</f>
        <v>0</v>
      </c>
      <c r="F12" s="16" t="n">
        <f aca="false">F11+E12</f>
        <v>0</v>
      </c>
      <c r="G12" s="16" t="n">
        <f aca="false">G11*(1+Předpoklady!$B$10)+E12</f>
        <v>0</v>
      </c>
    </row>
    <row r="13" customFormat="false" ht="15" hidden="false" customHeight="false" outlineLevel="0" collapsed="false">
      <c r="A13" s="15" t="n">
        <v>12</v>
      </c>
      <c r="B13" s="15" t="n">
        <f aca="false">ROUNDUP(A13/12,0)</f>
        <v>1</v>
      </c>
      <c r="C13" s="14" t="n">
        <f aca="false">Předpoklady!$B$4</f>
        <v>4000</v>
      </c>
      <c r="D13" s="16" t="n">
        <f aca="false">(D12+C13)*(1+Předpoklady!$B$10)</f>
        <v>49801.1885820456</v>
      </c>
      <c r="E13" s="16" t="n">
        <f aca="false">IF(AND(A13&gt;12,MOD(A13,12)=Předpoklady!$B$8),Předpoklady!$B$12,0)</f>
        <v>0</v>
      </c>
      <c r="F13" s="16" t="n">
        <f aca="false">F12+E13</f>
        <v>0</v>
      </c>
      <c r="G13" s="16" t="n">
        <f aca="false">G12*(1+Předpoklady!$B$10)+E13</f>
        <v>0</v>
      </c>
    </row>
    <row r="14" customFormat="false" ht="15" hidden="false" customHeight="false" outlineLevel="0" collapsed="false">
      <c r="A14" s="15" t="n">
        <v>13</v>
      </c>
      <c r="B14" s="15" t="n">
        <f aca="false">ROUNDUP(A14/12,0)</f>
        <v>2</v>
      </c>
      <c r="C14" s="14" t="n">
        <f aca="false">Předpoklady!$B$4</f>
        <v>4000</v>
      </c>
      <c r="D14" s="16" t="n">
        <f aca="false">(D13+C14)*(1+Předpoklady!$B$10)</f>
        <v>54105.3883243037</v>
      </c>
      <c r="E14" s="16" t="n">
        <f aca="false">IF(AND(A14&gt;12,MOD(A14,12)=Předpoklady!$B$8),Předpoklady!$B$12,0)</f>
        <v>0</v>
      </c>
      <c r="F14" s="16" t="n">
        <f aca="false">F13+E14</f>
        <v>0</v>
      </c>
      <c r="G14" s="16" t="n">
        <f aca="false">G13*(1+Předpoklady!$B$10)+E14</f>
        <v>0</v>
      </c>
    </row>
    <row r="15" customFormat="false" ht="15" hidden="false" customHeight="false" outlineLevel="0" collapsed="false">
      <c r="A15" s="15" t="n">
        <v>14</v>
      </c>
      <c r="B15" s="15" t="n">
        <f aca="false">ROUNDUP(A15/12,0)</f>
        <v>2</v>
      </c>
      <c r="C15" s="14" t="n">
        <f aca="false">Předpoklady!$B$4</f>
        <v>4000</v>
      </c>
      <c r="D15" s="16" t="n">
        <f aca="false">(D14+C15)*(1+Předpoklady!$B$10)</f>
        <v>58433.9246376809</v>
      </c>
      <c r="E15" s="16" t="n">
        <f aca="false">IF(AND(A15&gt;12,MOD(A15,12)=Předpoklady!$B$8),Předpoklady!$B$12,0)</f>
        <v>0</v>
      </c>
      <c r="F15" s="16" t="n">
        <f aca="false">F14+E15</f>
        <v>0</v>
      </c>
      <c r="G15" s="16" t="n">
        <f aca="false">G14*(1+Předpoklady!$B$10)+E15</f>
        <v>0</v>
      </c>
    </row>
    <row r="16" customFormat="false" ht="15" hidden="false" customHeight="false" outlineLevel="0" collapsed="false">
      <c r="A16" s="15" t="n">
        <v>15</v>
      </c>
      <c r="B16" s="15" t="n">
        <f aca="false">ROUNDUP(A16/12,0)</f>
        <v>2</v>
      </c>
      <c r="C16" s="14" t="n">
        <f aca="false">Předpoklady!$B$4</f>
        <v>4000</v>
      </c>
      <c r="D16" s="16" t="n">
        <f aca="false">(D15+C16)*(1+Předpoklady!$B$10)</f>
        <v>62786.9351246887</v>
      </c>
      <c r="E16" s="16" t="n">
        <f aca="false">IF(AND(A16&gt;12,MOD(A16,12)=Předpoklady!$B$8),Předpoklady!$B$12,0)</f>
        <v>0</v>
      </c>
      <c r="F16" s="16" t="n">
        <f aca="false">F15+E16</f>
        <v>0</v>
      </c>
      <c r="G16" s="16" t="n">
        <f aca="false">G15*(1+Předpoklady!$B$10)+E16</f>
        <v>0</v>
      </c>
    </row>
    <row r="17" customFormat="false" ht="15" hidden="false" customHeight="false" outlineLevel="0" collapsed="false">
      <c r="A17" s="15" t="n">
        <v>16</v>
      </c>
      <c r="B17" s="15" t="n">
        <f aca="false">ROUNDUP(A17/12,0)</f>
        <v>2</v>
      </c>
      <c r="C17" s="14" t="n">
        <f aca="false">Předpoklady!$B$4</f>
        <v>4000</v>
      </c>
      <c r="D17" s="16" t="n">
        <f aca="false">(D16+C17)*(1+Předpoklady!$B$10)</f>
        <v>67164.5581658629</v>
      </c>
      <c r="E17" s="16" t="n">
        <f aca="false">IF(AND(A17&gt;12,MOD(A17,12)=Předpoklady!$B$8),Předpoklady!$B$12,0)</f>
        <v>7200</v>
      </c>
      <c r="F17" s="16" t="n">
        <f aca="false">F16+E17</f>
        <v>7200</v>
      </c>
      <c r="G17" s="16" t="n">
        <f aca="false">G16*(1+Předpoklady!$B$10)+E17</f>
        <v>7200</v>
      </c>
    </row>
    <row r="18" customFormat="false" ht="15" hidden="false" customHeight="false" outlineLevel="0" collapsed="false">
      <c r="A18" s="15" t="n">
        <v>17</v>
      </c>
      <c r="B18" s="15" t="n">
        <f aca="false">ROUNDUP(A18/12,0)</f>
        <v>2</v>
      </c>
      <c r="C18" s="14" t="n">
        <f aca="false">Předpoklady!$B$4</f>
        <v>4000</v>
      </c>
      <c r="D18" s="16" t="n">
        <f aca="false">(D17+C18)*(1+Předpoklady!$B$10)</f>
        <v>71566.9329241632</v>
      </c>
      <c r="E18" s="16" t="n">
        <f aca="false">IF(AND(A18&gt;12,MOD(A18,12)=Předpoklady!$B$8),Předpoklady!$B$12,0)</f>
        <v>0</v>
      </c>
      <c r="F18" s="16" t="n">
        <f aca="false">F17+E18</f>
        <v>7200</v>
      </c>
      <c r="G18" s="16" t="n">
        <f aca="false">G17*(1+Předpoklady!$B$10)+E18</f>
        <v>7240.70984678932</v>
      </c>
    </row>
    <row r="19" customFormat="false" ht="15" hidden="false" customHeight="false" outlineLevel="0" collapsed="false">
      <c r="A19" s="15" t="n">
        <v>18</v>
      </c>
      <c r="B19" s="15" t="n">
        <f aca="false">ROUNDUP(A19/12,0)</f>
        <v>2</v>
      </c>
      <c r="C19" s="14" t="n">
        <f aca="false">Předpoklady!$B$4</f>
        <v>4000</v>
      </c>
      <c r="D19" s="16" t="n">
        <f aca="false">(D18+C19)*(1+Předpoklady!$B$10)</f>
        <v>75994.1993493967</v>
      </c>
      <c r="E19" s="16" t="n">
        <f aca="false">IF(AND(A19&gt;12,MOD(A19,12)=Předpoklady!$B$8),Předpoklady!$B$12,0)</f>
        <v>0</v>
      </c>
      <c r="F19" s="16" t="n">
        <f aca="false">F18+E19</f>
        <v>7200</v>
      </c>
      <c r="G19" s="16" t="n">
        <f aca="false">G18*(1+Předpoklady!$B$10)+E19</f>
        <v>7281.64987297108</v>
      </c>
    </row>
    <row r="20" customFormat="false" ht="15" hidden="false" customHeight="false" outlineLevel="0" collapsed="false">
      <c r="A20" s="15" t="n">
        <v>19</v>
      </c>
      <c r="B20" s="15" t="n">
        <f aca="false">ROUNDUP(A20/12,0)</f>
        <v>2</v>
      </c>
      <c r="C20" s="14" t="n">
        <f aca="false">Předpoklady!$B$4</f>
        <v>4000</v>
      </c>
      <c r="D20" s="16" t="n">
        <f aca="false">(D19+C20)*(1+Předpoklady!$B$10)</f>
        <v>80446.4981826672</v>
      </c>
      <c r="E20" s="16" t="n">
        <f aca="false">IF(AND(A20&gt;12,MOD(A20,12)=Předpoklady!$B$8),Předpoklady!$B$12,0)</f>
        <v>0</v>
      </c>
      <c r="F20" s="16" t="n">
        <f aca="false">F19+E20</f>
        <v>7200</v>
      </c>
      <c r="G20" s="16" t="n">
        <f aca="false">G19*(1+Předpoklady!$B$10)+E20</f>
        <v>7322.82138001304</v>
      </c>
    </row>
    <row r="21" customFormat="false" ht="15" hidden="false" customHeight="false" outlineLevel="0" collapsed="false">
      <c r="A21" s="15" t="n">
        <v>20</v>
      </c>
      <c r="B21" s="15" t="n">
        <f aca="false">ROUNDUP(A21/12,0)</f>
        <v>2</v>
      </c>
      <c r="C21" s="14" t="n">
        <f aca="false">Předpoklady!$B$4</f>
        <v>4000</v>
      </c>
      <c r="D21" s="16" t="n">
        <f aca="false">(D20+C21)*(1+Předpoklady!$B$10)</f>
        <v>84923.9709608493</v>
      </c>
      <c r="E21" s="16" t="n">
        <f aca="false">IF(AND(A21&gt;12,MOD(A21,12)=Předpoklady!$B$8),Předpoklady!$B$12,0)</f>
        <v>0</v>
      </c>
      <c r="F21" s="16" t="n">
        <f aca="false">F20+E21</f>
        <v>7200</v>
      </c>
      <c r="G21" s="16" t="n">
        <f aca="false">G20*(1+Předpoklady!$B$10)+E21</f>
        <v>7364.22567674164</v>
      </c>
    </row>
    <row r="22" customFormat="false" ht="15" hidden="false" customHeight="false" outlineLevel="0" collapsed="false">
      <c r="A22" s="15" t="n">
        <v>21</v>
      </c>
      <c r="B22" s="15" t="n">
        <f aca="false">ROUNDUP(A22/12,0)</f>
        <v>2</v>
      </c>
      <c r="C22" s="14" t="n">
        <f aca="false">Předpoklady!$B$4</f>
        <v>4000</v>
      </c>
      <c r="D22" s="16" t="n">
        <f aca="false">(D21+C22)*(1+Předpoklady!$B$10)</f>
        <v>89426.7600210874</v>
      </c>
      <c r="E22" s="16" t="n">
        <f aca="false">IF(AND(A22&gt;12,MOD(A22,12)=Předpoklady!$B$8),Předpoklady!$B$12,0)</f>
        <v>0</v>
      </c>
      <c r="F22" s="16" t="n">
        <f aca="false">F21+E22</f>
        <v>7200</v>
      </c>
      <c r="G22" s="16" t="n">
        <f aca="false">G21*(1+Předpoklady!$B$10)+E22</f>
        <v>7405.8640793836</v>
      </c>
    </row>
    <row r="23" customFormat="false" ht="15" hidden="false" customHeight="false" outlineLevel="0" collapsed="false">
      <c r="A23" s="15" t="n">
        <v>22</v>
      </c>
      <c r="B23" s="15" t="n">
        <f aca="false">ROUNDUP(A23/12,0)</f>
        <v>2</v>
      </c>
      <c r="C23" s="14" t="n">
        <f aca="false">Předpoklady!$B$4</f>
        <v>4000</v>
      </c>
      <c r="D23" s="16" t="n">
        <f aca="false">(D22+C23)*(1+Předpoklady!$B$10)</f>
        <v>93955.0085053208</v>
      </c>
      <c r="E23" s="16" t="n">
        <f aca="false">IF(AND(A23&gt;12,MOD(A23,12)=Předpoklady!$B$8),Předpoklady!$B$12,0)</f>
        <v>0</v>
      </c>
      <c r="F23" s="16" t="n">
        <f aca="false">F22+E23</f>
        <v>7200</v>
      </c>
      <c r="G23" s="16" t="n">
        <f aca="false">G22*(1+Předpoklady!$B$10)+E23</f>
        <v>7447.73791160779</v>
      </c>
    </row>
    <row r="24" customFormat="false" ht="15" hidden="false" customHeight="false" outlineLevel="0" collapsed="false">
      <c r="A24" s="15" t="n">
        <v>23</v>
      </c>
      <c r="B24" s="15" t="n">
        <f aca="false">ROUNDUP(A24/12,0)</f>
        <v>2</v>
      </c>
      <c r="C24" s="14" t="n">
        <f aca="false">Předpoklady!$B$4</f>
        <v>4000</v>
      </c>
      <c r="D24" s="16" t="n">
        <f aca="false">(D23+C24)*(1+Předpoklady!$B$10)</f>
        <v>98508.8603648344</v>
      </c>
      <c r="E24" s="16" t="n">
        <f aca="false">IF(AND(A24&gt;12,MOD(A24,12)=Předpoklady!$B$8),Předpoklady!$B$12,0)</f>
        <v>0</v>
      </c>
      <c r="F24" s="16" t="n">
        <f aca="false">F23+E24</f>
        <v>7200</v>
      </c>
      <c r="G24" s="16" t="n">
        <f aca="false">G23*(1+Předpoklady!$B$10)+E24</f>
        <v>7489.84850456731</v>
      </c>
    </row>
    <row r="25" customFormat="false" ht="15" hidden="false" customHeight="false" outlineLevel="0" collapsed="false">
      <c r="A25" s="15" t="n">
        <v>24</v>
      </c>
      <c r="B25" s="15" t="n">
        <f aca="false">ROUNDUP(A25/12,0)</f>
        <v>2</v>
      </c>
      <c r="C25" s="14" t="n">
        <f aca="false">Předpoklady!$B$4</f>
        <v>4000</v>
      </c>
      <c r="D25" s="16" t="n">
        <f aca="false">(D24+C25)*(1+Předpoklady!$B$10)</f>
        <v>103088.460364834</v>
      </c>
      <c r="E25" s="16" t="n">
        <f aca="false">IF(AND(A25&gt;12,MOD(A25,12)=Předpoklady!$B$8),Předpoklady!$B$12,0)</f>
        <v>0</v>
      </c>
      <c r="F25" s="16" t="n">
        <f aca="false">F24+E25</f>
        <v>7200</v>
      </c>
      <c r="G25" s="16" t="n">
        <f aca="false">G24*(1+Předpoklady!$B$10)+E25</f>
        <v>7532.19719694178</v>
      </c>
    </row>
    <row r="26" customFormat="false" ht="15" hidden="false" customHeight="false" outlineLevel="0" collapsed="false">
      <c r="A26" s="15" t="n">
        <v>25</v>
      </c>
      <c r="B26" s="15" t="n">
        <f aca="false">ROUNDUP(A26/12,0)</f>
        <v>3</v>
      </c>
      <c r="C26" s="14" t="n">
        <f aca="false">Předpoklady!$B$4</f>
        <v>4000</v>
      </c>
      <c r="D26" s="16" t="n">
        <f aca="false">(D25+C26)*(1+Předpoklady!$B$10)</f>
        <v>107693.954089051</v>
      </c>
      <c r="E26" s="16" t="n">
        <f aca="false">IF(AND(A26&gt;12,MOD(A26,12)=Předpoklady!$B$8),Předpoklady!$B$12,0)</f>
        <v>0</v>
      </c>
      <c r="F26" s="16" t="n">
        <f aca="false">F25+E26</f>
        <v>7200</v>
      </c>
      <c r="G26" s="16" t="n">
        <f aca="false">G25*(1+Předpoklady!$B$10)+E26</f>
        <v>7574.78533497989</v>
      </c>
    </row>
    <row r="27" customFormat="false" ht="15" hidden="false" customHeight="false" outlineLevel="0" collapsed="false">
      <c r="A27" s="15" t="n">
        <v>26</v>
      </c>
      <c r="B27" s="15" t="n">
        <f aca="false">ROUNDUP(A27/12,0)</f>
        <v>3</v>
      </c>
      <c r="C27" s="14" t="n">
        <f aca="false">Předpoklady!$B$4</f>
        <v>4000</v>
      </c>
      <c r="D27" s="16" t="n">
        <f aca="false">(D26+C27)*(1+Předpoklady!$B$10)</f>
        <v>112325.487944364</v>
      </c>
      <c r="E27" s="16" t="n">
        <f aca="false">IF(AND(A27&gt;12,MOD(A27,12)=Předpoklady!$B$8),Předpoklady!$B$12,0)</f>
        <v>0</v>
      </c>
      <c r="F27" s="16" t="n">
        <f aca="false">F26+E27</f>
        <v>7200</v>
      </c>
      <c r="G27" s="16" t="n">
        <f aca="false">G26*(1+Předpoklady!$B$10)+E27</f>
        <v>7617.61427254225</v>
      </c>
    </row>
    <row r="28" customFormat="false" ht="15" hidden="false" customHeight="false" outlineLevel="0" collapsed="false">
      <c r="A28" s="15" t="n">
        <v>27</v>
      </c>
      <c r="B28" s="15" t="n">
        <f aca="false">ROUNDUP(A28/12,0)</f>
        <v>3</v>
      </c>
      <c r="C28" s="14" t="n">
        <f aca="false">Předpoklady!$B$4</f>
        <v>4000</v>
      </c>
      <c r="D28" s="16" t="n">
        <f aca="false">(D27+C28)*(1+Předpoklady!$B$10)</f>
        <v>116983.209165463</v>
      </c>
      <c r="E28" s="16" t="n">
        <f aca="false">IF(AND(A28&gt;12,MOD(A28,12)=Předpoklady!$B$8),Předpoklady!$B$12,0)</f>
        <v>0</v>
      </c>
      <c r="F28" s="16" t="n">
        <f aca="false">F27+E28</f>
        <v>7200</v>
      </c>
      <c r="G28" s="16" t="n">
        <f aca="false">G27*(1+Předpoklady!$B$10)+E28</f>
        <v>7660.68537114438</v>
      </c>
    </row>
    <row r="29" customFormat="false" ht="15" hidden="false" customHeight="false" outlineLevel="0" collapsed="false">
      <c r="A29" s="15" t="n">
        <v>28</v>
      </c>
      <c r="B29" s="15" t="n">
        <f aca="false">ROUNDUP(A29/12,0)</f>
        <v>3</v>
      </c>
      <c r="C29" s="14" t="n">
        <f aca="false">Předpoklady!$B$4</f>
        <v>4000</v>
      </c>
      <c r="D29" s="16" t="n">
        <f aca="false">(D28+C29)*(1+Předpoklady!$B$10)</f>
        <v>121667.265819519</v>
      </c>
      <c r="E29" s="16" t="n">
        <f aca="false">IF(AND(A29&gt;12,MOD(A29,12)=Předpoklady!$B$8),Předpoklady!$B$12,0)</f>
        <v>7200</v>
      </c>
      <c r="F29" s="16" t="n">
        <f aca="false">F28+E29</f>
        <v>14400</v>
      </c>
      <c r="G29" s="16" t="n">
        <f aca="false">G28*(1+Předpoklady!$B$10)+E29</f>
        <v>14904</v>
      </c>
    </row>
    <row r="30" customFormat="false" ht="15" hidden="false" customHeight="false" outlineLevel="0" collapsed="false">
      <c r="A30" s="15" t="n">
        <v>29</v>
      </c>
      <c r="B30" s="15" t="n">
        <f aca="false">ROUNDUP(A30/12,0)</f>
        <v>3</v>
      </c>
      <c r="C30" s="14" t="n">
        <f aca="false">Předpoklady!$B$4</f>
        <v>4000</v>
      </c>
      <c r="D30" s="16" t="n">
        <f aca="false">(D29+C30)*(1+Předpoklady!$B$10)</f>
        <v>126377.8068109</v>
      </c>
      <c r="E30" s="16" t="n">
        <f aca="false">IF(AND(A30&gt;12,MOD(A30,12)=Předpoklady!$B$8),Předpoklady!$B$12,0)</f>
        <v>0</v>
      </c>
      <c r="F30" s="16" t="n">
        <f aca="false">F29+E30</f>
        <v>14400</v>
      </c>
      <c r="G30" s="16" t="n">
        <f aca="false">G29*(1+Předpoklady!$B$10)+E30</f>
        <v>14988.2693828539</v>
      </c>
    </row>
    <row r="31" customFormat="false" ht="15" hidden="false" customHeight="false" outlineLevel="0" collapsed="false">
      <c r="A31" s="15" t="n">
        <v>30</v>
      </c>
      <c r="B31" s="15" t="n">
        <f aca="false">ROUNDUP(A31/12,0)</f>
        <v>3</v>
      </c>
      <c r="C31" s="14" t="n">
        <f aca="false">Předpoklady!$B$4</f>
        <v>4000</v>
      </c>
      <c r="D31" s="16" t="n">
        <f aca="false">(D30+C31)*(1+Předpoklady!$B$10)</f>
        <v>131114.9818859</v>
      </c>
      <c r="E31" s="16" t="n">
        <f aca="false">IF(AND(A31&gt;12,MOD(A31,12)=Předpoklady!$B$8),Předpoklady!$B$12,0)</f>
        <v>0</v>
      </c>
      <c r="F31" s="16" t="n">
        <f aca="false">F30+E31</f>
        <v>14400</v>
      </c>
      <c r="G31" s="16" t="n">
        <f aca="false">G30*(1+Předpoklady!$B$10)+E31</f>
        <v>15073.0152370501</v>
      </c>
    </row>
    <row r="32" customFormat="false" ht="15" hidden="false" customHeight="false" outlineLevel="0" collapsed="false">
      <c r="A32" s="15" t="n">
        <v>31</v>
      </c>
      <c r="B32" s="15" t="n">
        <f aca="false">ROUNDUP(A32/12,0)</f>
        <v>3</v>
      </c>
      <c r="C32" s="14" t="n">
        <f aca="false">Předpoklady!$B$4</f>
        <v>4000</v>
      </c>
      <c r="D32" s="16" t="n">
        <f aca="false">(D31+C32)*(1+Předpoklady!$B$10)</f>
        <v>135878.9416375</v>
      </c>
      <c r="E32" s="16" t="n">
        <f aca="false">IF(AND(A32&gt;12,MOD(A32,12)=Předpoklady!$B$8),Předpoklady!$B$12,0)</f>
        <v>0</v>
      </c>
      <c r="F32" s="16" t="n">
        <f aca="false">F31+E32</f>
        <v>14400</v>
      </c>
      <c r="G32" s="16" t="n">
        <f aca="false">G31*(1+Předpoklady!$B$10)+E32</f>
        <v>15158.240256627</v>
      </c>
    </row>
    <row r="33" customFormat="false" ht="15" hidden="false" customHeight="false" outlineLevel="0" collapsed="false">
      <c r="A33" s="15" t="n">
        <v>32</v>
      </c>
      <c r="B33" s="15" t="n">
        <f aca="false">ROUNDUP(A33/12,0)</f>
        <v>3</v>
      </c>
      <c r="C33" s="14" t="n">
        <f aca="false">Předpoklady!$B$4</f>
        <v>4000</v>
      </c>
      <c r="D33" s="16" t="n">
        <f aca="false">(D32+C33)*(1+Předpoklady!$B$10)</f>
        <v>140669.837510154</v>
      </c>
      <c r="E33" s="16" t="n">
        <f aca="false">IF(AND(A33&gt;12,MOD(A33,12)=Předpoklady!$B$8),Předpoklady!$B$12,0)</f>
        <v>0</v>
      </c>
      <c r="F33" s="16" t="n">
        <f aca="false">F32+E33</f>
        <v>14400</v>
      </c>
      <c r="G33" s="16" t="n">
        <f aca="false">G32*(1+Předpoklady!$B$10)+E33</f>
        <v>15243.9471508552</v>
      </c>
    </row>
    <row r="34" customFormat="false" ht="15" hidden="false" customHeight="false" outlineLevel="0" collapsed="false">
      <c r="A34" s="15" t="n">
        <v>33</v>
      </c>
      <c r="B34" s="15" t="n">
        <f aca="false">ROUNDUP(A34/12,0)</f>
        <v>3</v>
      </c>
      <c r="C34" s="14" t="n">
        <f aca="false">Předpoklady!$B$4</f>
        <v>4000</v>
      </c>
      <c r="D34" s="16" t="n">
        <f aca="false">(D33+C34)*(1+Předpoklady!$B$10)</f>
        <v>145487.821804609</v>
      </c>
      <c r="E34" s="16" t="n">
        <f aca="false">IF(AND(A34&gt;12,MOD(A34,12)=Předpoklady!$B$8),Předpoklady!$B$12,0)</f>
        <v>0</v>
      </c>
      <c r="F34" s="16" t="n">
        <f aca="false">F33+E34</f>
        <v>14400</v>
      </c>
      <c r="G34" s="16" t="n">
        <f aca="false">G33*(1+Předpoklady!$B$10)+E34</f>
        <v>15330.138644324</v>
      </c>
    </row>
    <row r="35" customFormat="false" ht="15" hidden="false" customHeight="false" outlineLevel="0" collapsed="false">
      <c r="A35" s="15" t="n">
        <v>34</v>
      </c>
      <c r="B35" s="15" t="n">
        <f aca="false">ROUNDUP(A35/12,0)</f>
        <v>3</v>
      </c>
      <c r="C35" s="14" t="n">
        <f aca="false">Předpoklady!$B$4</f>
        <v>4000</v>
      </c>
      <c r="D35" s="16" t="n">
        <f aca="false">(D34+C35)*(1+Předpoklady!$B$10)</f>
        <v>150333.047682739</v>
      </c>
      <c r="E35" s="16" t="n">
        <f aca="false">IF(AND(A35&gt;12,MOD(A35,12)=Předpoklady!$B$8),Předpoklady!$B$12,0)</f>
        <v>0</v>
      </c>
      <c r="F35" s="16" t="n">
        <f aca="false">F34+E35</f>
        <v>14400</v>
      </c>
      <c r="G35" s="16" t="n">
        <f aca="false">G34*(1+Předpoklady!$B$10)+E35</f>
        <v>15416.8174770281</v>
      </c>
    </row>
    <row r="36" customFormat="false" ht="15" hidden="false" customHeight="false" outlineLevel="0" collapsed="false">
      <c r="A36" s="15" t="n">
        <v>35</v>
      </c>
      <c r="B36" s="15" t="n">
        <f aca="false">ROUNDUP(A36/12,0)</f>
        <v>3</v>
      </c>
      <c r="C36" s="14" t="n">
        <f aca="false">Předpoklady!$B$4</f>
        <v>4000</v>
      </c>
      <c r="D36" s="16" t="n">
        <f aca="false">(D35+C36)*(1+Předpoklady!$B$10)</f>
        <v>155205.669172418</v>
      </c>
      <c r="E36" s="16" t="n">
        <f aca="false">IF(AND(A36&gt;12,MOD(A36,12)=Předpoklady!$B$8),Předpoklady!$B$12,0)</f>
        <v>0</v>
      </c>
      <c r="F36" s="16" t="n">
        <f aca="false">F35+E36</f>
        <v>14400</v>
      </c>
      <c r="G36" s="16" t="n">
        <f aca="false">G35*(1+Předpoklady!$B$10)+E36</f>
        <v>15503.9864044543</v>
      </c>
    </row>
    <row r="37" customFormat="false" ht="15" hidden="false" customHeight="false" outlineLevel="0" collapsed="false">
      <c r="A37" s="15" t="n">
        <v>36</v>
      </c>
      <c r="B37" s="15" t="n">
        <f aca="false">ROUNDUP(A37/12,0)</f>
        <v>3</v>
      </c>
      <c r="C37" s="14" t="n">
        <f aca="false">Předpoklady!$B$4</f>
        <v>4000</v>
      </c>
      <c r="D37" s="16" t="n">
        <f aca="false">(D36+C37)*(1+Předpoklady!$B$10)</f>
        <v>160105.841172418</v>
      </c>
      <c r="E37" s="16" t="n">
        <f aca="false">IF(AND(A37&gt;12,MOD(A37,12)=Předpoklady!$B$8),Předpoklady!$B$12,0)</f>
        <v>0</v>
      </c>
      <c r="F37" s="16" t="n">
        <f aca="false">F36+E37</f>
        <v>14400</v>
      </c>
      <c r="G37" s="16" t="n">
        <f aca="false">G36*(1+Předpoklady!$B$10)+E37</f>
        <v>15591.6481976695</v>
      </c>
    </row>
    <row r="38" customFormat="false" ht="15" hidden="false" customHeight="false" outlineLevel="0" collapsed="false">
      <c r="A38" s="15" t="n">
        <v>37</v>
      </c>
      <c r="B38" s="15" t="n">
        <f aca="false">ROUNDUP(A38/12,0)</f>
        <v>4</v>
      </c>
      <c r="C38" s="14" t="n">
        <f aca="false">Předpoklady!$B$4</f>
        <v>4000</v>
      </c>
      <c r="D38" s="16" t="n">
        <f aca="false">(D37+C38)*(1+Předpoklady!$B$10)</f>
        <v>165033.71945733</v>
      </c>
      <c r="E38" s="16" t="n">
        <f aca="false">IF(AND(A38&gt;12,MOD(A38,12)=Předpoklady!$B$8),Předpoklady!$B$12,0)</f>
        <v>0</v>
      </c>
      <c r="F38" s="16" t="n">
        <f aca="false">F37+E38</f>
        <v>14400</v>
      </c>
      <c r="G38" s="16" t="n">
        <f aca="false">G37*(1+Předpoklady!$B$10)+E38</f>
        <v>15679.8056434084</v>
      </c>
    </row>
    <row r="39" customFormat="false" ht="15" hidden="false" customHeight="false" outlineLevel="0" collapsed="false">
      <c r="A39" s="15" t="n">
        <v>38</v>
      </c>
      <c r="B39" s="15" t="n">
        <f aca="false">ROUNDUP(A39/12,0)</f>
        <v>4</v>
      </c>
      <c r="C39" s="14" t="n">
        <f aca="false">Předpoklady!$B$4</f>
        <v>4000</v>
      </c>
      <c r="D39" s="16" t="n">
        <f aca="false">(D38+C39)*(1+Předpoklady!$B$10)</f>
        <v>169989.460682515</v>
      </c>
      <c r="E39" s="16" t="n">
        <f aca="false">IF(AND(A39&gt;12,MOD(A39,12)=Předpoklady!$B$8),Předpoklady!$B$12,0)</f>
        <v>0</v>
      </c>
      <c r="F39" s="16" t="n">
        <f aca="false">F38+E39</f>
        <v>14400</v>
      </c>
      <c r="G39" s="16" t="n">
        <f aca="false">G38*(1+Předpoklady!$B$10)+E39</f>
        <v>15768.4615441625</v>
      </c>
    </row>
    <row r="40" customFormat="false" ht="15" hidden="false" customHeight="false" outlineLevel="0" collapsed="false">
      <c r="A40" s="15" t="n">
        <v>39</v>
      </c>
      <c r="B40" s="15" t="n">
        <f aca="false">ROUNDUP(A40/12,0)</f>
        <v>4</v>
      </c>
      <c r="C40" s="14" t="n">
        <f aca="false">Předpoklady!$B$4</f>
        <v>4000</v>
      </c>
      <c r="D40" s="16" t="n">
        <f aca="false">(D39+C40)*(1+Předpoklady!$B$10)</f>
        <v>174973.222389091</v>
      </c>
      <c r="E40" s="16" t="n">
        <f aca="false">IF(AND(A40&gt;12,MOD(A40,12)=Předpoklady!$B$8),Předpoklady!$B$12,0)</f>
        <v>0</v>
      </c>
      <c r="F40" s="16" t="n">
        <f aca="false">F39+E40</f>
        <v>14400</v>
      </c>
      <c r="G40" s="16" t="n">
        <f aca="false">G39*(1+Předpoklady!$B$10)+E40</f>
        <v>15857.6187182689</v>
      </c>
    </row>
    <row r="41" customFormat="false" ht="15" hidden="false" customHeight="false" outlineLevel="0" collapsed="false">
      <c r="A41" s="15" t="n">
        <v>40</v>
      </c>
      <c r="B41" s="15" t="n">
        <f aca="false">ROUNDUP(A41/12,0)</f>
        <v>4</v>
      </c>
      <c r="C41" s="14" t="n">
        <f aca="false">Předpoklady!$B$4</f>
        <v>4000</v>
      </c>
      <c r="D41" s="16" t="n">
        <f aca="false">(D40+C41)*(1+Předpoklady!$B$10)</f>
        <v>179985.163008931</v>
      </c>
      <c r="E41" s="16" t="n">
        <f aca="false">IF(AND(A41&gt;12,MOD(A41,12)=Předpoklady!$B$8),Předpoklady!$B$12,0)</f>
        <v>7200</v>
      </c>
      <c r="F41" s="16" t="n">
        <f aca="false">F40+E41</f>
        <v>21600</v>
      </c>
      <c r="G41" s="16" t="n">
        <f aca="false">G40*(1+Předpoklady!$B$10)+E41</f>
        <v>23147.28</v>
      </c>
    </row>
    <row r="42" customFormat="false" ht="15" hidden="false" customHeight="false" outlineLevel="0" collapsed="false">
      <c r="A42" s="15" t="n">
        <v>41</v>
      </c>
      <c r="B42" s="15" t="n">
        <f aca="false">ROUNDUP(A42/12,0)</f>
        <v>4</v>
      </c>
      <c r="C42" s="14" t="n">
        <f aca="false">Předpoklady!$B$4</f>
        <v>4000</v>
      </c>
      <c r="D42" s="16" t="n">
        <f aca="false">(D41+C42)*(1+Předpoklady!$B$10)</f>
        <v>185025.441869709</v>
      </c>
      <c r="E42" s="16" t="n">
        <f aca="false">IF(AND(A42&gt;12,MOD(A42,12)=Předpoklady!$B$8),Předpoklady!$B$12,0)</f>
        <v>0</v>
      </c>
      <c r="F42" s="16" t="n">
        <f aca="false">F41+E42</f>
        <v>21600</v>
      </c>
      <c r="G42" s="16" t="n">
        <f aca="false">G41*(1+Předpoklady!$B$10)+E42</f>
        <v>23278.158086443</v>
      </c>
    </row>
    <row r="43" customFormat="false" ht="15" hidden="false" customHeight="false" outlineLevel="0" collapsed="false">
      <c r="A43" s="15" t="n">
        <v>42</v>
      </c>
      <c r="B43" s="15" t="n">
        <f aca="false">ROUNDUP(A43/12,0)</f>
        <v>4</v>
      </c>
      <c r="C43" s="14" t="n">
        <f aca="false">Předpoklady!$B$4</f>
        <v>4000</v>
      </c>
      <c r="D43" s="16" t="n">
        <f aca="false">(D42+C43)*(1+Předpoklady!$B$10)</f>
        <v>190094.219199959</v>
      </c>
      <c r="E43" s="16" t="n">
        <f aca="false">IF(AND(A43&gt;12,MOD(A43,12)=Předpoklady!$B$8),Předpoklady!$B$12,0)</f>
        <v>0</v>
      </c>
      <c r="F43" s="16" t="n">
        <f aca="false">F42+E43</f>
        <v>21600</v>
      </c>
      <c r="G43" s="16" t="n">
        <f aca="false">G42*(1+Předpoklady!$B$10)+E43</f>
        <v>23409.7761766147</v>
      </c>
    </row>
    <row r="44" customFormat="false" ht="15" hidden="false" customHeight="false" outlineLevel="0" collapsed="false">
      <c r="A44" s="15" t="n">
        <v>43</v>
      </c>
      <c r="B44" s="15" t="n">
        <f aca="false">ROUNDUP(A44/12,0)</f>
        <v>4</v>
      </c>
      <c r="C44" s="14" t="n">
        <f aca="false">Předpoklady!$B$4</f>
        <v>4000</v>
      </c>
      <c r="D44" s="16" t="n">
        <f aca="false">(D43+C44)*(1+Předpoklady!$B$10)</f>
        <v>195191.65613417</v>
      </c>
      <c r="E44" s="16" t="n">
        <f aca="false">IF(AND(A44&gt;12,MOD(A44,12)=Předpoklady!$B$8),Předpoklady!$B$12,0)</f>
        <v>0</v>
      </c>
      <c r="F44" s="16" t="n">
        <f aca="false">F43+E44</f>
        <v>21600</v>
      </c>
      <c r="G44" s="16" t="n">
        <f aca="false">G43*(1+Předpoklady!$B$10)+E44</f>
        <v>23542.1384546039</v>
      </c>
    </row>
    <row r="45" customFormat="false" ht="15" hidden="false" customHeight="false" outlineLevel="0" collapsed="false">
      <c r="A45" s="15" t="n">
        <v>44</v>
      </c>
      <c r="B45" s="15" t="n">
        <f aca="false">ROUNDUP(A45/12,0)</f>
        <v>4</v>
      </c>
      <c r="C45" s="14" t="n">
        <f aca="false">Předpoklady!$B$4</f>
        <v>4000</v>
      </c>
      <c r="D45" s="16" t="n">
        <f aca="false">(D44+C45)*(1+Předpoklady!$B$10)</f>
        <v>200317.914717911</v>
      </c>
      <c r="E45" s="16" t="n">
        <f aca="false">IF(AND(A45&gt;12,MOD(A45,12)=Předpoklady!$B$8),Předpoklady!$B$12,0)</f>
        <v>0</v>
      </c>
      <c r="F45" s="16" t="n">
        <f aca="false">F44+E45</f>
        <v>21600</v>
      </c>
      <c r="G45" s="16" t="n">
        <f aca="false">G44*(1+Předpoklady!$B$10)+E45</f>
        <v>23675.2491281567</v>
      </c>
    </row>
    <row r="46" customFormat="false" ht="15" hidden="false" customHeight="false" outlineLevel="0" collapsed="false">
      <c r="A46" s="15" t="n">
        <v>45</v>
      </c>
      <c r="B46" s="15" t="n">
        <f aca="false">ROUNDUP(A46/12,0)</f>
        <v>4</v>
      </c>
      <c r="C46" s="14" t="n">
        <f aca="false">Předpoklady!$B$4</f>
        <v>4000</v>
      </c>
      <c r="D46" s="16" t="n">
        <f aca="false">(D45+C46)*(1+Předpoklady!$B$10)</f>
        <v>205473.157912977</v>
      </c>
      <c r="E46" s="16" t="n">
        <f aca="false">IF(AND(A46&gt;12,MOD(A46,12)=Předpoklady!$B$8),Předpoklady!$B$12,0)</f>
        <v>0</v>
      </c>
      <c r="F46" s="16" t="n">
        <f aca="false">F45+E46</f>
        <v>21600</v>
      </c>
      <c r="G46" s="16" t="n">
        <f aca="false">G45*(1+Předpoklady!$B$10)+E46</f>
        <v>23809.1124288103</v>
      </c>
    </row>
    <row r="47" customFormat="false" ht="15" hidden="false" customHeight="false" outlineLevel="0" collapsed="false">
      <c r="A47" s="15" t="n">
        <v>46</v>
      </c>
      <c r="B47" s="15" t="n">
        <f aca="false">ROUNDUP(A47/12,0)</f>
        <v>4</v>
      </c>
      <c r="C47" s="14" t="n">
        <f aca="false">Předpoklady!$B$4</f>
        <v>4000</v>
      </c>
      <c r="D47" s="16" t="n">
        <f aca="false">(D46+C47)*(1+Předpoklady!$B$10)</f>
        <v>210657.549602576</v>
      </c>
      <c r="E47" s="16" t="n">
        <f aca="false">IF(AND(A47&gt;12,MOD(A47,12)=Předpoklady!$B$8),Předpoklady!$B$12,0)</f>
        <v>0</v>
      </c>
      <c r="F47" s="16" t="n">
        <f aca="false">F46+E47</f>
        <v>21600</v>
      </c>
      <c r="G47" s="16" t="n">
        <f aca="false">G46*(1+Předpoklady!$B$10)+E47</f>
        <v>23943.7326120279</v>
      </c>
    </row>
    <row r="48" customFormat="false" ht="15" hidden="false" customHeight="false" outlineLevel="0" collapsed="false">
      <c r="A48" s="15" t="n">
        <v>47</v>
      </c>
      <c r="B48" s="15" t="n">
        <f aca="false">ROUNDUP(A48/12,0)</f>
        <v>4</v>
      </c>
      <c r="C48" s="14" t="n">
        <f aca="false">Předpoklady!$B$4</f>
        <v>4000</v>
      </c>
      <c r="D48" s="16" t="n">
        <f aca="false">(D47+C48)*(1+Předpoklady!$B$10)</f>
        <v>215871.254596533</v>
      </c>
      <c r="E48" s="16" t="n">
        <f aca="false">IF(AND(A48&gt;12,MOD(A48,12)=Předpoklady!$B$8),Předpoklady!$B$12,0)</f>
        <v>0</v>
      </c>
      <c r="F48" s="16" t="n">
        <f aca="false">F47+E48</f>
        <v>21600</v>
      </c>
      <c r="G48" s="16" t="n">
        <f aca="false">G47*(1+Předpoklady!$B$10)+E48</f>
        <v>24079.1139573335</v>
      </c>
    </row>
    <row r="49" customFormat="false" ht="15" hidden="false" customHeight="false" outlineLevel="0" collapsed="false">
      <c r="A49" s="15" t="n">
        <v>48</v>
      </c>
      <c r="B49" s="15" t="n">
        <f aca="false">ROUNDUP(A49/12,0)</f>
        <v>4</v>
      </c>
      <c r="C49" s="14" t="n">
        <f aca="false">Předpoklady!$B$4</f>
        <v>4000</v>
      </c>
      <c r="D49" s="16" t="n">
        <f aca="false">(D48+C49)*(1+Předpoklady!$B$10)</f>
        <v>221114.438636533</v>
      </c>
      <c r="E49" s="16" t="n">
        <f aca="false">IF(AND(A49&gt;12,MOD(A49,12)=Předpoklady!$B$8),Předpoklady!$B$12,0)</f>
        <v>0</v>
      </c>
      <c r="F49" s="16" t="n">
        <f aca="false">F48+E49</f>
        <v>21600</v>
      </c>
      <c r="G49" s="16" t="n">
        <f aca="false">G48*(1+Předpoklady!$B$10)+E49</f>
        <v>24215.2607684481</v>
      </c>
    </row>
    <row r="50" customFormat="false" ht="15" hidden="false" customHeight="false" outlineLevel="0" collapsed="false">
      <c r="A50" s="15" t="n">
        <v>49</v>
      </c>
      <c r="B50" s="15" t="n">
        <f aca="false">ROUNDUP(A50/12,0)</f>
        <v>5</v>
      </c>
      <c r="C50" s="14" t="n">
        <f aca="false">Předpoklady!$B$4</f>
        <v>4000</v>
      </c>
      <c r="D50" s="16" t="n">
        <f aca="false">(D49+C50)*(1+Předpoklady!$B$10)</f>
        <v>226387.268401388</v>
      </c>
      <c r="E50" s="16" t="n">
        <f aca="false">IF(AND(A50&gt;12,MOD(A50,12)=Předpoklady!$B$8),Předpoklady!$B$12,0)</f>
        <v>0</v>
      </c>
      <c r="F50" s="16" t="n">
        <f aca="false">F49+E50</f>
        <v>21600</v>
      </c>
      <c r="G50" s="16" t="n">
        <f aca="false">G49*(1+Předpoklady!$B$10)+E50</f>
        <v>24352.1773734269</v>
      </c>
    </row>
    <row r="51" customFormat="false" ht="15" hidden="false" customHeight="false" outlineLevel="0" collapsed="false">
      <c r="A51" s="15" t="n">
        <v>50</v>
      </c>
      <c r="B51" s="15" t="n">
        <f aca="false">ROUNDUP(A51/12,0)</f>
        <v>5</v>
      </c>
      <c r="C51" s="14" t="n">
        <f aca="false">Předpoklady!$B$4</f>
        <v>4000</v>
      </c>
      <c r="D51" s="16" t="n">
        <f aca="false">(D50+C51)*(1+Předpoklady!$B$10)</f>
        <v>231689.911512337</v>
      </c>
      <c r="E51" s="16" t="n">
        <f aca="false">IF(AND(A51&gt;12,MOD(A51,12)=Předpoklady!$B$8),Předpoklady!$B$12,0)</f>
        <v>0</v>
      </c>
      <c r="F51" s="16" t="n">
        <f aca="false">F50+E51</f>
        <v>21600</v>
      </c>
      <c r="G51" s="16" t="n">
        <f aca="false">G50*(1+Předpoklady!$B$10)+E51</f>
        <v>24489.8681247961</v>
      </c>
    </row>
    <row r="52" customFormat="false" ht="15" hidden="false" customHeight="false" outlineLevel="0" collapsed="false">
      <c r="A52" s="15" t="n">
        <v>51</v>
      </c>
      <c r="B52" s="15" t="n">
        <f aca="false">ROUNDUP(A52/12,0)</f>
        <v>5</v>
      </c>
      <c r="C52" s="14" t="n">
        <f aca="false">Předpoklady!$B$4</f>
        <v>4000</v>
      </c>
      <c r="D52" s="16" t="n">
        <f aca="false">(D51+C52)*(1+Předpoklady!$B$10)</f>
        <v>237022.536538373</v>
      </c>
      <c r="E52" s="16" t="n">
        <f aca="false">IF(AND(A52&gt;12,MOD(A52,12)=Předpoklady!$B$8),Předpoklady!$B$12,0)</f>
        <v>0</v>
      </c>
      <c r="F52" s="16" t="n">
        <f aca="false">F51+E52</f>
        <v>21600</v>
      </c>
      <c r="G52" s="16" t="n">
        <f aca="false">G51*(1+Předpoklady!$B$10)+E52</f>
        <v>24628.3373996921</v>
      </c>
    </row>
    <row r="53" customFormat="false" ht="15" hidden="false" customHeight="false" outlineLevel="0" collapsed="false">
      <c r="A53" s="15" t="n">
        <v>52</v>
      </c>
      <c r="B53" s="15" t="n">
        <f aca="false">ROUNDUP(A53/12,0)</f>
        <v>5</v>
      </c>
      <c r="C53" s="14" t="n">
        <f aca="false">Předpoklady!$B$4</f>
        <v>4000</v>
      </c>
      <c r="D53" s="16" t="n">
        <f aca="false">(D52+C53)*(1+Předpoklady!$B$10)</f>
        <v>242385.313001602</v>
      </c>
      <c r="E53" s="16" t="n">
        <f aca="false">IF(AND(A53&gt;12,MOD(A53,12)=Předpoklady!$B$8),Předpoklady!$B$12,0)</f>
        <v>7200</v>
      </c>
      <c r="F53" s="16" t="n">
        <f aca="false">F52+E53</f>
        <v>28800</v>
      </c>
      <c r="G53" s="16" t="n">
        <f aca="false">G52*(1+Předpoklady!$B$10)+E53</f>
        <v>31967.5896</v>
      </c>
    </row>
    <row r="54" customFormat="false" ht="15" hidden="false" customHeight="false" outlineLevel="0" collapsed="false">
      <c r="A54" s="15" t="n">
        <v>53</v>
      </c>
      <c r="B54" s="15" t="n">
        <f aca="false">ROUNDUP(A54/12,0)</f>
        <v>5</v>
      </c>
      <c r="C54" s="14" t="n">
        <f aca="false">Předpoklady!$B$4</f>
        <v>4000</v>
      </c>
      <c r="D54" s="16" t="n">
        <f aca="false">(D53+C54)*(1+Předpoklady!$B$10)</f>
        <v>247778.411382634</v>
      </c>
      <c r="E54" s="16" t="n">
        <f aca="false">IF(AND(A54&gt;12,MOD(A54,12)=Předpoklady!$B$8),Předpoklady!$B$12,0)</f>
        <v>0</v>
      </c>
      <c r="F54" s="16" t="n">
        <f aca="false">F53+E54</f>
        <v>28800</v>
      </c>
      <c r="G54" s="16" t="n">
        <f aca="false">G53*(1+Předpoklady!$B$10)+E54</f>
        <v>32148.3389992833</v>
      </c>
    </row>
    <row r="55" customFormat="false" ht="15" hidden="false" customHeight="false" outlineLevel="0" collapsed="false">
      <c r="A55" s="15" t="n">
        <v>54</v>
      </c>
      <c r="B55" s="15" t="n">
        <f aca="false">ROUNDUP(A55/12,0)</f>
        <v>5</v>
      </c>
      <c r="C55" s="14" t="n">
        <f aca="false">Předpoklady!$B$4</f>
        <v>4000</v>
      </c>
      <c r="D55" s="16" t="n">
        <f aca="false">(D54+C55)*(1+Předpoklady!$B$10)</f>
        <v>253202.003126001</v>
      </c>
      <c r="E55" s="16" t="n">
        <f aca="false">IF(AND(A55&gt;12,MOD(A55,12)=Předpoklady!$B$8),Předpoklady!$B$12,0)</f>
        <v>0</v>
      </c>
      <c r="F55" s="16" t="n">
        <f aca="false">F54+E55</f>
        <v>28800</v>
      </c>
      <c r="G55" s="16" t="n">
        <f aca="false">G54*(1+Předpoklady!$B$10)+E55</f>
        <v>32330.1103819488</v>
      </c>
    </row>
    <row r="56" customFormat="false" ht="15" hidden="false" customHeight="false" outlineLevel="0" collapsed="false">
      <c r="A56" s="15" t="n">
        <v>55</v>
      </c>
      <c r="B56" s="15" t="n">
        <f aca="false">ROUNDUP(A56/12,0)</f>
        <v>5</v>
      </c>
      <c r="C56" s="14" t="n">
        <f aca="false">Předpoklady!$B$4</f>
        <v>4000</v>
      </c>
      <c r="D56" s="16" t="n">
        <f aca="false">(D55+C56)*(1+Předpoklady!$B$10)</f>
        <v>258656.260645608</v>
      </c>
      <c r="E56" s="16" t="n">
        <f aca="false">IF(AND(A56&gt;12,MOD(A56,12)=Předpoklady!$B$8),Předpoklady!$B$12,0)</f>
        <v>0</v>
      </c>
      <c r="F56" s="16" t="n">
        <f aca="false">F55+E56</f>
        <v>28800</v>
      </c>
      <c r="G56" s="16" t="n">
        <f aca="false">G55*(1+Předpoklady!$B$10)+E56</f>
        <v>32512.9095264392</v>
      </c>
    </row>
    <row r="57" customFormat="false" ht="15" hidden="false" customHeight="false" outlineLevel="0" collapsed="false">
      <c r="A57" s="15" t="n">
        <v>56</v>
      </c>
      <c r="B57" s="15" t="n">
        <f aca="false">ROUNDUP(A57/12,0)</f>
        <v>5</v>
      </c>
      <c r="C57" s="14" t="n">
        <f aca="false">Předpoklady!$B$4</f>
        <v>4000</v>
      </c>
      <c r="D57" s="16" t="n">
        <f aca="false">(D56+C57)*(1+Předpoklady!$B$10)</f>
        <v>264141.35733021</v>
      </c>
      <c r="E57" s="16" t="n">
        <f aca="false">IF(AND(A57&gt;12,MOD(A57,12)=Předpoklady!$B$8),Předpoklady!$B$12,0)</f>
        <v>0</v>
      </c>
      <c r="F57" s="16" t="n">
        <f aca="false">F56+E57</f>
        <v>28800</v>
      </c>
      <c r="G57" s="16" t="n">
        <f aca="false">G56*(1+Předpoklady!$B$10)+E57</f>
        <v>32696.7422438693</v>
      </c>
    </row>
    <row r="58" customFormat="false" ht="15" hidden="false" customHeight="false" outlineLevel="0" collapsed="false">
      <c r="A58" s="15" t="n">
        <v>57</v>
      </c>
      <c r="B58" s="15" t="n">
        <f aca="false">ROUNDUP(A58/12,0)</f>
        <v>5</v>
      </c>
      <c r="C58" s="14" t="n">
        <f aca="false">Předpoklady!$B$4</f>
        <v>4000</v>
      </c>
      <c r="D58" s="16" t="n">
        <f aca="false">(D57+C58)*(1+Předpoklady!$B$10)</f>
        <v>269657.467548931</v>
      </c>
      <c r="E58" s="16" t="n">
        <f aca="false">IF(AND(A58&gt;12,MOD(A58,12)=Předpoklady!$B$8),Předpoklady!$B$12,0)</f>
        <v>0</v>
      </c>
      <c r="F58" s="16" t="n">
        <f aca="false">F57+E58</f>
        <v>28800</v>
      </c>
      <c r="G58" s="16" t="n">
        <f aca="false">G57*(1+Předpoklady!$B$10)+E58</f>
        <v>32881.6143782106</v>
      </c>
    </row>
    <row r="59" customFormat="false" ht="15" hidden="false" customHeight="false" outlineLevel="0" collapsed="false">
      <c r="A59" s="15" t="n">
        <v>58</v>
      </c>
      <c r="B59" s="15" t="n">
        <f aca="false">ROUNDUP(A59/12,0)</f>
        <v>5</v>
      </c>
      <c r="C59" s="14" t="n">
        <f aca="false">Předpoklady!$B$4</f>
        <v>4000</v>
      </c>
      <c r="D59" s="16" t="n">
        <f aca="false">(D58+C59)*(1+Předpoklady!$B$10)</f>
        <v>275204.766656802</v>
      </c>
      <c r="E59" s="16" t="n">
        <f aca="false">IF(AND(A59&gt;12,MOD(A59,12)=Předpoklady!$B$8),Předpoklady!$B$12,0)</f>
        <v>0</v>
      </c>
      <c r="F59" s="16" t="n">
        <f aca="false">F58+E59</f>
        <v>28800</v>
      </c>
      <c r="G59" s="16" t="n">
        <f aca="false">G58*(1+Předpoklady!$B$10)+E59</f>
        <v>33067.5318064776</v>
      </c>
    </row>
    <row r="60" customFormat="false" ht="15" hidden="false" customHeight="false" outlineLevel="0" collapsed="false">
      <c r="A60" s="15" t="n">
        <v>59</v>
      </c>
      <c r="B60" s="15" t="n">
        <f aca="false">ROUNDUP(A60/12,0)</f>
        <v>5</v>
      </c>
      <c r="C60" s="14" t="n">
        <f aca="false">Předpoklady!$B$4</f>
        <v>4000</v>
      </c>
      <c r="D60" s="16" t="n">
        <f aca="false">(D59+C60)*(1+Předpoklady!$B$10)</f>
        <v>280783.431000336</v>
      </c>
      <c r="E60" s="16" t="n">
        <f aca="false">IF(AND(A60&gt;12,MOD(A60,12)=Předpoklady!$B$8),Předpoklady!$B$12,0)</f>
        <v>0</v>
      </c>
      <c r="F60" s="16" t="n">
        <f aca="false">F59+E60</f>
        <v>28800</v>
      </c>
      <c r="G60" s="16" t="n">
        <f aca="false">G59*(1+Předpoklady!$B$10)+E60</f>
        <v>33254.5004389141</v>
      </c>
    </row>
    <row r="61" customFormat="false" ht="15" hidden="false" customHeight="false" outlineLevel="0" collapsed="false">
      <c r="A61" s="15" t="n">
        <v>60</v>
      </c>
      <c r="B61" s="15" t="n">
        <f aca="false">ROUNDUP(A61/12,0)</f>
        <v>5</v>
      </c>
      <c r="C61" s="14" t="n">
        <f aca="false">Předpoklady!$B$4</f>
        <v>4000</v>
      </c>
      <c r="D61" s="16" t="n">
        <f aca="false">(D60+C61)*(1+Předpoklady!$B$10)</f>
        <v>286393.637923136</v>
      </c>
      <c r="E61" s="16" t="n">
        <f aca="false">IF(AND(A61&gt;12,MOD(A61,12)=Předpoklady!$B$8),Předpoklady!$B$12,0)</f>
        <v>0</v>
      </c>
      <c r="F61" s="16" t="n">
        <f aca="false">F60+E61</f>
        <v>28800</v>
      </c>
      <c r="G61" s="16" t="n">
        <f aca="false">G60*(1+Předpoklady!$B$10)+E61</f>
        <v>33442.5262191813</v>
      </c>
    </row>
    <row r="62" customFormat="false" ht="15" hidden="false" customHeight="false" outlineLevel="0" collapsed="false">
      <c r="A62" s="15" t="n">
        <v>61</v>
      </c>
      <c r="B62" s="15" t="n">
        <f aca="false">ROUNDUP(A62/12,0)</f>
        <v>6</v>
      </c>
      <c r="C62" s="14" t="n">
        <f aca="false">Předpoklady!$B$4</f>
        <v>4000</v>
      </c>
      <c r="D62" s="16" t="n">
        <f aca="false">(D61+C62)*(1+Předpoklady!$B$10)</f>
        <v>292035.565771531</v>
      </c>
      <c r="E62" s="16" t="n">
        <f aca="false">IF(AND(A62&gt;12,MOD(A62,12)=Předpoklady!$B$8),Předpoklady!$B$12,0)</f>
        <v>0</v>
      </c>
      <c r="F62" s="16" t="n">
        <f aca="false">F61+E62</f>
        <v>28800</v>
      </c>
      <c r="G62" s="16" t="n">
        <f aca="false">G61*(1+Předpoklady!$B$10)+E62</f>
        <v>33631.6151245466</v>
      </c>
    </row>
    <row r="63" customFormat="false" ht="15" hidden="false" customHeight="false" outlineLevel="0" collapsed="false">
      <c r="A63" s="15" t="n">
        <v>62</v>
      </c>
      <c r="B63" s="15" t="n">
        <f aca="false">ROUNDUP(A63/12,0)</f>
        <v>6</v>
      </c>
      <c r="C63" s="14" t="n">
        <f aca="false">Předpoklady!$B$4</f>
        <v>4000</v>
      </c>
      <c r="D63" s="16" t="n">
        <f aca="false">(D62+C63)*(1+Předpoklady!$B$10)</f>
        <v>297709.393900246</v>
      </c>
      <c r="E63" s="16" t="n">
        <f aca="false">IF(AND(A63&gt;12,MOD(A63,12)=Předpoklady!$B$8),Předpoklady!$B$12,0)</f>
        <v>0</v>
      </c>
      <c r="F63" s="16" t="n">
        <f aca="false">F62+E63</f>
        <v>28800</v>
      </c>
      <c r="G63" s="16" t="n">
        <f aca="false">G62*(1+Předpoklady!$B$10)+E63</f>
        <v>33821.7731660741</v>
      </c>
    </row>
    <row r="64" customFormat="false" ht="15" hidden="false" customHeight="false" outlineLevel="0" collapsed="false">
      <c r="A64" s="15" t="n">
        <v>63</v>
      </c>
      <c r="B64" s="15" t="n">
        <f aca="false">ROUNDUP(A64/12,0)</f>
        <v>6</v>
      </c>
      <c r="C64" s="14" t="n">
        <f aca="false">Předpoklady!$B$4</f>
        <v>4000</v>
      </c>
      <c r="D64" s="16" t="n">
        <f aca="false">(D63+C64)*(1+Předpoklady!$B$10)</f>
        <v>303415.302678104</v>
      </c>
      <c r="E64" s="16" t="n">
        <f aca="false">IF(AND(A64&gt;12,MOD(A64,12)=Předpoklady!$B$8),Předpoklady!$B$12,0)</f>
        <v>0</v>
      </c>
      <c r="F64" s="16" t="n">
        <f aca="false">F63+E64</f>
        <v>28800</v>
      </c>
      <c r="G64" s="16" t="n">
        <f aca="false">G63*(1+Předpoklady!$B$10)+E64</f>
        <v>34013.0063888149</v>
      </c>
    </row>
    <row r="65" customFormat="false" ht="15" hidden="false" customHeight="false" outlineLevel="0" collapsed="false">
      <c r="A65" s="15" t="n">
        <v>64</v>
      </c>
      <c r="B65" s="15" t="n">
        <f aca="false">ROUNDUP(A65/12,0)</f>
        <v>6</v>
      </c>
      <c r="C65" s="14" t="n">
        <f aca="false">Předpoklady!$B$4</f>
        <v>4000</v>
      </c>
      <c r="D65" s="16" t="n">
        <f aca="false">(D64+C65)*(1+Předpoklady!$B$10)</f>
        <v>309153.473493759</v>
      </c>
      <c r="E65" s="16" t="n">
        <f aca="false">IF(AND(A65&gt;12,MOD(A65,12)=Předpoklady!$B$8),Předpoklady!$B$12,0)</f>
        <v>7200</v>
      </c>
      <c r="F65" s="16" t="n">
        <f aca="false">F64+E65</f>
        <v>36000</v>
      </c>
      <c r="G65" s="16" t="n">
        <f aca="false">G64*(1+Předpoklady!$B$10)+E65</f>
        <v>41405.320872</v>
      </c>
    </row>
    <row r="66" customFormat="false" ht="15" hidden="false" customHeight="false" outlineLevel="0" collapsed="false">
      <c r="A66" s="15" t="n">
        <v>65</v>
      </c>
      <c r="B66" s="15" t="n">
        <f aca="false">ROUNDUP(A66/12,0)</f>
        <v>6</v>
      </c>
      <c r="C66" s="14" t="n">
        <f aca="false">Předpoklady!$B$4</f>
        <v>4000</v>
      </c>
      <c r="D66" s="16" t="n">
        <f aca="false">(D65+C66)*(1+Předpoklady!$B$10)</f>
        <v>314924.088761464</v>
      </c>
      <c r="E66" s="16" t="n">
        <f aca="false">IF(AND(A66&gt;12,MOD(A66,12)=Předpoklady!$B$8),Předpoklady!$B$12,0)</f>
        <v>0</v>
      </c>
      <c r="F66" s="16" t="n">
        <f aca="false">F65+E66</f>
        <v>36000</v>
      </c>
      <c r="G66" s="16" t="n">
        <f aca="false">G65*(1+Předpoklady!$B$10)+E66</f>
        <v>41639.4325760225</v>
      </c>
    </row>
    <row r="67" customFormat="false" ht="15" hidden="false" customHeight="false" outlineLevel="0" collapsed="false">
      <c r="A67" s="15" t="n">
        <v>66</v>
      </c>
      <c r="B67" s="15" t="n">
        <f aca="false">ROUNDUP(A67/12,0)</f>
        <v>6</v>
      </c>
      <c r="C67" s="14" t="n">
        <f aca="false">Předpoklady!$B$4</f>
        <v>4000</v>
      </c>
      <c r="D67" s="16" t="n">
        <f aca="false">(D66+C67)*(1+Předpoklady!$B$10)</f>
        <v>320727.331926867</v>
      </c>
      <c r="E67" s="16" t="n">
        <f aca="false">IF(AND(A67&gt;12,MOD(A67,12)=Předpoklady!$B$8),Předpoklady!$B$12,0)</f>
        <v>0</v>
      </c>
      <c r="F67" s="16" t="n">
        <f aca="false">F66+E67</f>
        <v>36000</v>
      </c>
      <c r="G67" s="16" t="n">
        <f aca="false">G66*(1+Předpoklady!$B$10)+E67</f>
        <v>41874.8679816564</v>
      </c>
    </row>
    <row r="68" customFormat="false" ht="15" hidden="false" customHeight="false" outlineLevel="0" collapsed="false">
      <c r="A68" s="15" t="n">
        <v>67</v>
      </c>
      <c r="B68" s="15" t="n">
        <f aca="false">ROUNDUP(A68/12,0)</f>
        <v>6</v>
      </c>
      <c r="C68" s="14" t="n">
        <f aca="false">Předpoklady!$B$4</f>
        <v>4000</v>
      </c>
      <c r="D68" s="16" t="n">
        <f aca="false">(D67+C68)*(1+Předpoklady!$B$10)</f>
        <v>326563.387472846</v>
      </c>
      <c r="E68" s="16" t="n">
        <f aca="false">IF(AND(A68&gt;12,MOD(A68,12)=Předpoklady!$B$8),Předpoklady!$B$12,0)</f>
        <v>0</v>
      </c>
      <c r="F68" s="16" t="n">
        <f aca="false">F67+E68</f>
        <v>36000</v>
      </c>
      <c r="G68" s="16" t="n">
        <f aca="false">G67*(1+Předpoklady!$B$10)+E68</f>
        <v>42111.634573303</v>
      </c>
    </row>
    <row r="69" customFormat="false" ht="15" hidden="false" customHeight="false" outlineLevel="0" collapsed="false">
      <c r="A69" s="15" t="n">
        <v>68</v>
      </c>
      <c r="B69" s="15" t="n">
        <f aca="false">ROUNDUP(A69/12,0)</f>
        <v>6</v>
      </c>
      <c r="C69" s="14" t="n">
        <f aca="false">Předpoklady!$B$4</f>
        <v>4000</v>
      </c>
      <c r="D69" s="16" t="n">
        <f aca="false">(D68+C69)*(1+Předpoklady!$B$10)</f>
        <v>332432.44092537</v>
      </c>
      <c r="E69" s="16" t="n">
        <f aca="false">IF(AND(A69&gt;12,MOD(A69,12)=Předpoklady!$B$8),Předpoklady!$B$12,0)</f>
        <v>0</v>
      </c>
      <c r="F69" s="16" t="n">
        <f aca="false">F68+E69</f>
        <v>36000</v>
      </c>
      <c r="G69" s="16" t="n">
        <f aca="false">G68*(1+Předpoklady!$B$10)+E69</f>
        <v>42349.7398776818</v>
      </c>
    </row>
    <row r="70" customFormat="false" ht="15" hidden="false" customHeight="false" outlineLevel="0" collapsed="false">
      <c r="A70" s="15" t="n">
        <v>69</v>
      </c>
      <c r="B70" s="15" t="n">
        <f aca="false">ROUNDUP(A70/12,0)</f>
        <v>6</v>
      </c>
      <c r="C70" s="14" t="n">
        <f aca="false">Předpoklady!$B$4</f>
        <v>4000</v>
      </c>
      <c r="D70" s="16" t="n">
        <f aca="false">(D69+C70)*(1+Předpoklady!$B$10)</f>
        <v>338334.678859402</v>
      </c>
      <c r="E70" s="16" t="n">
        <f aca="false">IF(AND(A70&gt;12,MOD(A70,12)=Předpoklady!$B$8),Předpoklady!$B$12,0)</f>
        <v>0</v>
      </c>
      <c r="F70" s="16" t="n">
        <f aca="false">F69+E70</f>
        <v>36000</v>
      </c>
      <c r="G70" s="16" t="n">
        <f aca="false">G69*(1+Předpoklady!$B$10)+E70</f>
        <v>42589.191464069</v>
      </c>
    </row>
    <row r="71" customFormat="false" ht="15" hidden="false" customHeight="false" outlineLevel="0" collapsed="false">
      <c r="A71" s="15" t="n">
        <v>70</v>
      </c>
      <c r="B71" s="15" t="n">
        <f aca="false">ROUNDUP(A71/12,0)</f>
        <v>6</v>
      </c>
      <c r="C71" s="14" t="n">
        <f aca="false">Předpoklady!$B$4</f>
        <v>4000</v>
      </c>
      <c r="D71" s="16" t="n">
        <f aca="false">(D70+C71)*(1+Předpoklady!$B$10)</f>
        <v>344270.288904824</v>
      </c>
      <c r="E71" s="16" t="n">
        <f aca="false">IF(AND(A71&gt;12,MOD(A71,12)=Předpoklady!$B$8),Předpoklady!$B$12,0)</f>
        <v>0</v>
      </c>
      <c r="F71" s="16" t="n">
        <f aca="false">F70+E71</f>
        <v>36000</v>
      </c>
      <c r="G71" s="16" t="n">
        <f aca="false">G70*(1+Předpoklady!$B$10)+E71</f>
        <v>42829.9969445389</v>
      </c>
    </row>
    <row r="72" customFormat="false" ht="15" hidden="false" customHeight="false" outlineLevel="0" collapsed="false">
      <c r="A72" s="15" t="n">
        <v>71</v>
      </c>
      <c r="B72" s="15" t="n">
        <f aca="false">ROUNDUP(A72/12,0)</f>
        <v>6</v>
      </c>
      <c r="C72" s="14" t="n">
        <f aca="false">Předpoklady!$B$4</f>
        <v>4000</v>
      </c>
      <c r="D72" s="16" t="n">
        <f aca="false">(D71+C72)*(1+Předpoklady!$B$10)</f>
        <v>350239.459752405</v>
      </c>
      <c r="E72" s="16" t="n">
        <f aca="false">IF(AND(A72&gt;12,MOD(A72,12)=Předpoklady!$B$8),Předpoklady!$B$12,0)</f>
        <v>0</v>
      </c>
      <c r="F72" s="16" t="n">
        <f aca="false">F71+E72</f>
        <v>36000</v>
      </c>
      <c r="G72" s="16" t="n">
        <f aca="false">G71*(1+Předpoklady!$B$10)+E72</f>
        <v>43072.1639742054</v>
      </c>
    </row>
    <row r="73" customFormat="false" ht="15" hidden="false" customHeight="false" outlineLevel="0" collapsed="false">
      <c r="A73" s="15" t="n">
        <v>72</v>
      </c>
      <c r="B73" s="15" t="n">
        <f aca="false">ROUNDUP(A73/12,0)</f>
        <v>6</v>
      </c>
      <c r="C73" s="14" t="n">
        <f aca="false">Předpoklady!$B$4</f>
        <v>4000</v>
      </c>
      <c r="D73" s="16" t="n">
        <f aca="false">(D72+C73)*(1+Předpoklady!$B$10)</f>
        <v>356242.381159801</v>
      </c>
      <c r="E73" s="16" t="n">
        <f aca="false">IF(AND(A73&gt;12,MOD(A73,12)=Předpoklady!$B$8),Předpoklady!$B$12,0)</f>
        <v>0</v>
      </c>
      <c r="F73" s="16" t="n">
        <f aca="false">F72+E73</f>
        <v>36000</v>
      </c>
      <c r="G73" s="16" t="n">
        <f aca="false">G72*(1+Předpoklady!$B$10)+E73</f>
        <v>43315.7002514657</v>
      </c>
    </row>
    <row r="74" customFormat="false" ht="15" hidden="false" customHeight="false" outlineLevel="0" collapsed="false">
      <c r="A74" s="15" t="n">
        <v>73</v>
      </c>
      <c r="B74" s="15" t="n">
        <f aca="false">ROUNDUP(A74/12,0)</f>
        <v>7</v>
      </c>
      <c r="C74" s="14" t="n">
        <f aca="false">Předpoklady!$B$4</f>
        <v>4000</v>
      </c>
      <c r="D74" s="16" t="n">
        <f aca="false">(D73+C74)*(1+Předpoklady!$B$10)</f>
        <v>362279.243957584</v>
      </c>
      <c r="E74" s="16" t="n">
        <f aca="false">IF(AND(A74&gt;12,MOD(A74,12)=Předpoklady!$B$8),Předpoklady!$B$12,0)</f>
        <v>0</v>
      </c>
      <c r="F74" s="16" t="n">
        <f aca="false">F73+E74</f>
        <v>36000</v>
      </c>
      <c r="G74" s="16" t="n">
        <f aca="false">G73*(1+Předpoklady!$B$10)+E74</f>
        <v>43560.6135182448</v>
      </c>
    </row>
    <row r="75" customFormat="false" ht="15" hidden="false" customHeight="false" outlineLevel="0" collapsed="false">
      <c r="A75" s="15" t="n">
        <v>74</v>
      </c>
      <c r="B75" s="15" t="n">
        <f aca="false">ROUNDUP(A75/12,0)</f>
        <v>7</v>
      </c>
      <c r="C75" s="14" t="n">
        <f aca="false">Předpoklady!$B$4</f>
        <v>4000</v>
      </c>
      <c r="D75" s="16" t="n">
        <f aca="false">(D74+C75)*(1+Předpoklady!$B$10)</f>
        <v>368350.240055309</v>
      </c>
      <c r="E75" s="16" t="n">
        <f aca="false">IF(AND(A75&gt;12,MOD(A75,12)=Předpoklady!$B$8),Předpoklady!$B$12,0)</f>
        <v>0</v>
      </c>
      <c r="F75" s="16" t="n">
        <f aca="false">F74+E75</f>
        <v>36000</v>
      </c>
      <c r="G75" s="16" t="n">
        <f aca="false">G74*(1+Předpoklady!$B$10)+E75</f>
        <v>43806.9115602415</v>
      </c>
    </row>
    <row r="76" customFormat="false" ht="15" hidden="false" customHeight="false" outlineLevel="0" collapsed="false">
      <c r="A76" s="15" t="n">
        <v>75</v>
      </c>
      <c r="B76" s="15" t="n">
        <f aca="false">ROUNDUP(A76/12,0)</f>
        <v>7</v>
      </c>
      <c r="C76" s="14" t="n">
        <f aca="false">Předpoklady!$B$4</f>
        <v>4000</v>
      </c>
      <c r="D76" s="16" t="n">
        <f aca="false">(D75+C76)*(1+Předpoklady!$B$10)</f>
        <v>374455.562447617</v>
      </c>
      <c r="E76" s="16" t="n">
        <f aca="false">IF(AND(A76&gt;12,MOD(A76,12)=Předpoklady!$B$8),Předpoklady!$B$12,0)</f>
        <v>0</v>
      </c>
      <c r="F76" s="16" t="n">
        <f aca="false">F75+E76</f>
        <v>36000</v>
      </c>
      <c r="G76" s="16" t="n">
        <f aca="false">G75*(1+Předpoklady!$B$10)+E76</f>
        <v>44054.6022071763</v>
      </c>
    </row>
    <row r="77" customFormat="false" ht="15" hidden="false" customHeight="false" outlineLevel="0" collapsed="false">
      <c r="A77" s="15" t="n">
        <v>76</v>
      </c>
      <c r="B77" s="15" t="n">
        <f aca="false">ROUNDUP(A77/12,0)</f>
        <v>7</v>
      </c>
      <c r="C77" s="14" t="n">
        <f aca="false">Předpoklady!$B$4</f>
        <v>4000</v>
      </c>
      <c r="D77" s="16" t="n">
        <f aca="false">(D76+C77)*(1+Předpoklady!$B$10)</f>
        <v>380595.405220368</v>
      </c>
      <c r="E77" s="16" t="n">
        <f aca="false">IF(AND(A77&gt;12,MOD(A77,12)=Předpoklady!$B$8),Předpoklady!$B$12,0)</f>
        <v>7200</v>
      </c>
      <c r="F77" s="16" t="n">
        <f aca="false">F76+E77</f>
        <v>43200</v>
      </c>
      <c r="G77" s="16" t="n">
        <f aca="false">G76*(1+Předpoklady!$B$10)+E77</f>
        <v>51503.69333304</v>
      </c>
    </row>
    <row r="78" customFormat="false" ht="15" hidden="false" customHeight="false" outlineLevel="0" collapsed="false">
      <c r="A78" s="15" t="n">
        <v>77</v>
      </c>
      <c r="B78" s="15" t="n">
        <f aca="false">ROUNDUP(A78/12,0)</f>
        <v>7</v>
      </c>
      <c r="C78" s="14" t="n">
        <f aca="false">Předpoklady!$B$4</f>
        <v>4000</v>
      </c>
      <c r="D78" s="16" t="n">
        <f aca="false">(D77+C78)*(1+Předpoklady!$B$10)</f>
        <v>386769.963556812</v>
      </c>
      <c r="E78" s="16" t="n">
        <f aca="false">IF(AND(A78&gt;12,MOD(A78,12)=Předpoklady!$B$8),Předpoklady!$B$12,0)</f>
        <v>0</v>
      </c>
      <c r="F78" s="16" t="n">
        <f aca="false">F77+E78</f>
        <v>43200</v>
      </c>
      <c r="G78" s="16" t="n">
        <f aca="false">G77*(1+Předpoklady!$B$10)+E78</f>
        <v>51794.9027031334</v>
      </c>
    </row>
    <row r="79" customFormat="false" ht="15" hidden="false" customHeight="false" outlineLevel="0" collapsed="false">
      <c r="A79" s="15" t="n">
        <v>78</v>
      </c>
      <c r="B79" s="15" t="n">
        <f aca="false">ROUNDUP(A79/12,0)</f>
        <v>7</v>
      </c>
      <c r="C79" s="14" t="n">
        <f aca="false">Předpoklady!$B$4</f>
        <v>4000</v>
      </c>
      <c r="D79" s="16" t="n">
        <f aca="false">(D78+C79)*(1+Předpoklady!$B$10)</f>
        <v>392979.433743793</v>
      </c>
      <c r="E79" s="16" t="n">
        <f aca="false">IF(AND(A79&gt;12,MOD(A79,12)=Předpoklady!$B$8),Předpoklady!$B$12,0)</f>
        <v>0</v>
      </c>
      <c r="F79" s="16" t="n">
        <f aca="false">F78+E79</f>
        <v>43200</v>
      </c>
      <c r="G79" s="16" t="n">
        <f aca="false">G78*(1+Předpoklady!$B$10)+E79</f>
        <v>52087.7586133434</v>
      </c>
    </row>
    <row r="80" customFormat="false" ht="15" hidden="false" customHeight="false" outlineLevel="0" collapsed="false">
      <c r="A80" s="15" t="n">
        <v>79</v>
      </c>
      <c r="B80" s="15" t="n">
        <f aca="false">ROUNDUP(A80/12,0)</f>
        <v>7</v>
      </c>
      <c r="C80" s="14" t="n">
        <f aca="false">Předpoklady!$B$4</f>
        <v>4000</v>
      </c>
      <c r="D80" s="16" t="n">
        <f aca="false">(D79+C80)*(1+Předpoklady!$B$10)</f>
        <v>399224.013177991</v>
      </c>
      <c r="E80" s="16" t="n">
        <f aca="false">IF(AND(A80&gt;12,MOD(A80,12)=Předpoklady!$B$8),Předpoklady!$B$12,0)</f>
        <v>0</v>
      </c>
      <c r="F80" s="16" t="n">
        <f aca="false">F79+E80</f>
        <v>43200</v>
      </c>
      <c r="G80" s="16" t="n">
        <f aca="false">G79*(1+Předpoklady!$B$10)+E80</f>
        <v>52382.2703734473</v>
      </c>
    </row>
    <row r="81" customFormat="false" ht="15" hidden="false" customHeight="false" outlineLevel="0" collapsed="false">
      <c r="A81" s="15" t="n">
        <v>80</v>
      </c>
      <c r="B81" s="15" t="n">
        <f aca="false">ROUNDUP(A81/12,0)</f>
        <v>7</v>
      </c>
      <c r="C81" s="14" t="n">
        <f aca="false">Předpoklady!$B$4</f>
        <v>4000</v>
      </c>
      <c r="D81" s="16" t="n">
        <f aca="false">(D80+C81)*(1+Předpoklady!$B$10)</f>
        <v>405503.900372192</v>
      </c>
      <c r="E81" s="16" t="n">
        <f aca="false">IF(AND(A81&gt;12,MOD(A81,12)=Předpoklady!$B$8),Předpoklady!$B$12,0)</f>
        <v>0</v>
      </c>
      <c r="F81" s="16" t="n">
        <f aca="false">F80+E81</f>
        <v>43200</v>
      </c>
      <c r="G81" s="16" t="n">
        <f aca="false">G80*(1+Předpoklady!$B$10)+E81</f>
        <v>52678.4473458611</v>
      </c>
    </row>
    <row r="82" customFormat="false" ht="15" hidden="false" customHeight="false" outlineLevel="0" collapsed="false">
      <c r="A82" s="15" t="n">
        <v>81</v>
      </c>
      <c r="B82" s="15" t="n">
        <f aca="false">ROUNDUP(A82/12,0)</f>
        <v>7</v>
      </c>
      <c r="C82" s="14" t="n">
        <f aca="false">Předpoklady!$B$4</f>
        <v>4000</v>
      </c>
      <c r="D82" s="16" t="n">
        <f aca="false">(D81+C82)*(1+Předpoklady!$B$10)</f>
        <v>411819.294961606</v>
      </c>
      <c r="E82" s="16" t="n">
        <f aca="false">IF(AND(A82&gt;12,MOD(A82,12)=Předpoklady!$B$8),Předpoklady!$B$12,0)</f>
        <v>0</v>
      </c>
      <c r="F82" s="16" t="n">
        <f aca="false">F81+E82</f>
        <v>43200</v>
      </c>
      <c r="G82" s="16" t="n">
        <f aca="false">G81*(1+Předpoklady!$B$10)+E82</f>
        <v>52976.2989459374</v>
      </c>
    </row>
    <row r="83" customFormat="false" ht="15" hidden="false" customHeight="false" outlineLevel="0" collapsed="false">
      <c r="A83" s="15" t="n">
        <v>82</v>
      </c>
      <c r="B83" s="15" t="n">
        <f aca="false">ROUNDUP(A83/12,0)</f>
        <v>7</v>
      </c>
      <c r="C83" s="14" t="n">
        <f aca="false">Předpoklady!$B$4</f>
        <v>4000</v>
      </c>
      <c r="D83" s="16" t="n">
        <f aca="false">(D82+C83)*(1+Předpoklady!$B$10)</f>
        <v>418170.397710207</v>
      </c>
      <c r="E83" s="16" t="n">
        <f aca="false">IF(AND(A83&gt;12,MOD(A83,12)=Předpoklady!$B$8),Předpoklady!$B$12,0)</f>
        <v>0</v>
      </c>
      <c r="F83" s="16" t="n">
        <f aca="false">F82+E83</f>
        <v>43200</v>
      </c>
      <c r="G83" s="16" t="n">
        <f aca="false">G82*(1+Předpoklady!$B$10)+E83</f>
        <v>53275.8346422644</v>
      </c>
    </row>
    <row r="84" customFormat="false" ht="15" hidden="false" customHeight="false" outlineLevel="0" collapsed="false">
      <c r="A84" s="15" t="n">
        <v>83</v>
      </c>
      <c r="B84" s="15" t="n">
        <f aca="false">ROUNDUP(A84/12,0)</f>
        <v>7</v>
      </c>
      <c r="C84" s="14" t="n">
        <f aca="false">Předpoklady!$B$4</f>
        <v>4000</v>
      </c>
      <c r="D84" s="16" t="n">
        <f aca="false">(D83+C84)*(1+Předpoklady!$B$10)</f>
        <v>424557.410517119</v>
      </c>
      <c r="E84" s="16" t="n">
        <f aca="false">IF(AND(A84&gt;12,MOD(A84,12)=Předpoklady!$B$8),Předpoklady!$B$12,0)</f>
        <v>0</v>
      </c>
      <c r="F84" s="16" t="n">
        <f aca="false">F83+E84</f>
        <v>43200</v>
      </c>
      <c r="G84" s="16" t="n">
        <f aca="false">G83*(1+Předpoklady!$B$10)+E84</f>
        <v>53577.0639569671</v>
      </c>
    </row>
    <row r="85" customFormat="false" ht="15" hidden="false" customHeight="false" outlineLevel="0" collapsed="false">
      <c r="A85" s="15" t="n">
        <v>84</v>
      </c>
      <c r="B85" s="15" t="n">
        <f aca="false">ROUNDUP(A85/12,0)</f>
        <v>7</v>
      </c>
      <c r="C85" s="14" t="n">
        <f aca="false">Předpoklady!$B$4</f>
        <v>4000</v>
      </c>
      <c r="D85" s="16" t="n">
        <f aca="false">(D84+C85)*(1+Předpoklady!$B$10)</f>
        <v>430980.536423033</v>
      </c>
      <c r="E85" s="16" t="n">
        <f aca="false">IF(AND(A85&gt;12,MOD(A85,12)=Předpoklady!$B$8),Předpoklady!$B$12,0)</f>
        <v>0</v>
      </c>
      <c r="F85" s="16" t="n">
        <f aca="false">F84+E85</f>
        <v>43200</v>
      </c>
      <c r="G85" s="16" t="n">
        <f aca="false">G84*(1+Předpoklady!$B$10)+E85</f>
        <v>53879.9964660101</v>
      </c>
    </row>
    <row r="86" customFormat="false" ht="15" hidden="false" customHeight="false" outlineLevel="0" collapsed="false">
      <c r="A86" s="15" t="n">
        <v>85</v>
      </c>
      <c r="B86" s="15" t="n">
        <f aca="false">ROUNDUP(A86/12,0)</f>
        <v>8</v>
      </c>
      <c r="C86" s="14" t="n">
        <f aca="false">Předpoklady!$B$4</f>
        <v>4000</v>
      </c>
      <c r="D86" s="16" t="n">
        <f aca="false">(D85+C86)*(1+Předpoklady!$B$10)</f>
        <v>437439.97961666</v>
      </c>
      <c r="E86" s="16" t="n">
        <f aca="false">IF(AND(A86&gt;12,MOD(A86,12)=Předpoklady!$B$8),Předpoklady!$B$12,0)</f>
        <v>0</v>
      </c>
      <c r="F86" s="16" t="n">
        <f aca="false">F85+E86</f>
        <v>43200</v>
      </c>
      <c r="G86" s="16" t="n">
        <f aca="false">G85*(1+Předpoklady!$B$10)+E86</f>
        <v>54184.6417995018</v>
      </c>
    </row>
    <row r="87" customFormat="false" ht="15" hidden="false" customHeight="false" outlineLevel="0" collapsed="false">
      <c r="A87" s="15" t="n">
        <v>86</v>
      </c>
      <c r="B87" s="15" t="n">
        <f aca="false">ROUNDUP(A87/12,0)</f>
        <v>8</v>
      </c>
      <c r="C87" s="14" t="n">
        <f aca="false">Předpoklady!$B$4</f>
        <v>4000</v>
      </c>
      <c r="D87" s="16" t="n">
        <f aca="false">(D86+C87)*(1+Předpoklady!$B$10)</f>
        <v>443935.945441226</v>
      </c>
      <c r="E87" s="16" t="n">
        <f aca="false">IF(AND(A87&gt;12,MOD(A87,12)=Předpoklady!$B$8),Předpoklady!$B$12,0)</f>
        <v>0</v>
      </c>
      <c r="F87" s="16" t="n">
        <f aca="false">F86+E87</f>
        <v>43200</v>
      </c>
      <c r="G87" s="16" t="n">
        <f aca="false">G86*(1+Předpoklady!$B$10)+E87</f>
        <v>54491.0096420007</v>
      </c>
    </row>
    <row r="88" customFormat="false" ht="15" hidden="false" customHeight="false" outlineLevel="0" collapsed="false">
      <c r="A88" s="15" t="n">
        <v>87</v>
      </c>
      <c r="B88" s="15" t="n">
        <f aca="false">ROUNDUP(A88/12,0)</f>
        <v>8</v>
      </c>
      <c r="C88" s="14" t="n">
        <f aca="false">Předpoklady!$B$4</f>
        <v>4000</v>
      </c>
      <c r="D88" s="16" t="n">
        <f aca="false">(D87+C88)*(1+Předpoklady!$B$10)</f>
        <v>450468.640400996</v>
      </c>
      <c r="E88" s="16" t="n">
        <f aca="false">IF(AND(A88&gt;12,MOD(A88,12)=Předpoklady!$B$8),Předpoklady!$B$12,0)</f>
        <v>0</v>
      </c>
      <c r="F88" s="16" t="n">
        <f aca="false">F87+E88</f>
        <v>43200</v>
      </c>
      <c r="G88" s="16" t="n">
        <f aca="false">G87*(1+Předpoklady!$B$10)+E88</f>
        <v>54799.1097328231</v>
      </c>
    </row>
    <row r="89" customFormat="false" ht="15" hidden="false" customHeight="false" outlineLevel="0" collapsed="false">
      <c r="A89" s="15" t="n">
        <v>88</v>
      </c>
      <c r="B89" s="15" t="n">
        <f aca="false">ROUNDUP(A89/12,0)</f>
        <v>8</v>
      </c>
      <c r="C89" s="14" t="n">
        <f aca="false">Předpoklady!$B$4</f>
        <v>4000</v>
      </c>
      <c r="D89" s="16" t="n">
        <f aca="false">(D88+C89)*(1+Předpoklady!$B$10)</f>
        <v>457038.272167839</v>
      </c>
      <c r="E89" s="16" t="n">
        <f aca="false">IF(AND(A89&gt;12,MOD(A89,12)=Předpoklady!$B$8),Předpoklady!$B$12,0)</f>
        <v>7200</v>
      </c>
      <c r="F89" s="16" t="n">
        <f aca="false">F88+E89</f>
        <v>50400</v>
      </c>
      <c r="G89" s="16" t="n">
        <f aca="false">G88*(1+Předpoklady!$B$10)+E89</f>
        <v>62308.9518663528</v>
      </c>
    </row>
    <row r="90" customFormat="false" ht="15" hidden="false" customHeight="false" outlineLevel="0" collapsed="false">
      <c r="A90" s="15" t="n">
        <v>89</v>
      </c>
      <c r="B90" s="15" t="n">
        <f aca="false">ROUNDUP(A90/12,0)</f>
        <v>8</v>
      </c>
      <c r="C90" s="14" t="n">
        <f aca="false">Předpoklady!$B$4</f>
        <v>4000</v>
      </c>
      <c r="D90" s="16" t="n">
        <f aca="false">(D89+C90)*(1+Předpoklady!$B$10)</f>
        <v>463645.049587834</v>
      </c>
      <c r="E90" s="16" t="n">
        <f aca="false">IF(AND(A90&gt;12,MOD(A90,12)=Předpoklady!$B$8),Předpoklady!$B$12,0)</f>
        <v>0</v>
      </c>
      <c r="F90" s="16" t="n">
        <f aca="false">F89+E90</f>
        <v>50400</v>
      </c>
      <c r="G90" s="16" t="n">
        <f aca="false">G89*(1+Předpoklady!$B$10)+E90</f>
        <v>62661.255739142</v>
      </c>
    </row>
    <row r="91" customFormat="false" ht="15" hidden="false" customHeight="false" outlineLevel="0" collapsed="false">
      <c r="A91" s="15" t="n">
        <v>90</v>
      </c>
      <c r="B91" s="15" t="n">
        <f aca="false">ROUNDUP(A91/12,0)</f>
        <v>8</v>
      </c>
      <c r="C91" s="14" t="n">
        <f aca="false">Předpoklady!$B$4</f>
        <v>4000</v>
      </c>
      <c r="D91" s="16" t="n">
        <f aca="false">(D90+C91)*(1+Předpoklady!$B$10)</f>
        <v>470289.182687904</v>
      </c>
      <c r="E91" s="16" t="n">
        <f aca="false">IF(AND(A91&gt;12,MOD(A91,12)=Předpoklady!$B$8),Předpoklady!$B$12,0)</f>
        <v>0</v>
      </c>
      <c r="F91" s="16" t="n">
        <f aca="false">F90+E91</f>
        <v>50400</v>
      </c>
      <c r="G91" s="16" t="n">
        <f aca="false">G90*(1+Předpoklady!$B$10)+E91</f>
        <v>63015.5515892485</v>
      </c>
    </row>
    <row r="92" customFormat="false" ht="15" hidden="false" customHeight="false" outlineLevel="0" collapsed="false">
      <c r="A92" s="15" t="n">
        <v>91</v>
      </c>
      <c r="B92" s="15" t="n">
        <f aca="false">ROUNDUP(A92/12,0)</f>
        <v>8</v>
      </c>
      <c r="C92" s="14" t="n">
        <f aca="false">Předpoklady!$B$4</f>
        <v>4000</v>
      </c>
      <c r="D92" s="16" t="n">
        <f aca="false">(D91+C92)*(1+Předpoklady!$B$10)</f>
        <v>476970.882682495</v>
      </c>
      <c r="E92" s="16" t="n">
        <f aca="false">IF(AND(A92&gt;12,MOD(A92,12)=Předpoklady!$B$8),Předpoklady!$B$12,0)</f>
        <v>0</v>
      </c>
      <c r="F92" s="16" t="n">
        <f aca="false">F91+E92</f>
        <v>50400</v>
      </c>
      <c r="G92" s="16" t="n">
        <f aca="false">G91*(1+Předpoklady!$B$10)+E92</f>
        <v>63371.8506796016</v>
      </c>
    </row>
    <row r="93" customFormat="false" ht="15" hidden="false" customHeight="false" outlineLevel="0" collapsed="false">
      <c r="A93" s="15" t="n">
        <v>92</v>
      </c>
      <c r="B93" s="15" t="n">
        <f aca="false">ROUNDUP(A93/12,0)</f>
        <v>8</v>
      </c>
      <c r="C93" s="14" t="n">
        <f aca="false">Předpoklady!$B$4</f>
        <v>4000</v>
      </c>
      <c r="D93" s="16" t="n">
        <f aca="false">(D92+C93)*(1+Předpoklady!$B$10)</f>
        <v>483690.361980291</v>
      </c>
      <c r="E93" s="16" t="n">
        <f aca="false">IF(AND(A93&gt;12,MOD(A93,12)=Předpoklady!$B$8),Předpoklady!$B$12,0)</f>
        <v>0</v>
      </c>
      <c r="F93" s="16" t="n">
        <f aca="false">F92+E93</f>
        <v>50400</v>
      </c>
      <c r="G93" s="16" t="n">
        <f aca="false">G92*(1+Předpoklady!$B$10)+E93</f>
        <v>63730.1643368131</v>
      </c>
    </row>
    <row r="94" customFormat="false" ht="15" hidden="false" customHeight="false" outlineLevel="0" collapsed="false">
      <c r="A94" s="15" t="n">
        <v>93</v>
      </c>
      <c r="B94" s="15" t="n">
        <f aca="false">ROUNDUP(A94/12,0)</f>
        <v>8</v>
      </c>
      <c r="C94" s="14" t="n">
        <f aca="false">Předpoklady!$B$4</f>
        <v>4000</v>
      </c>
      <c r="D94" s="16" t="n">
        <f aca="false">(D93+C94)*(1+Předpoklady!$B$10)</f>
        <v>490447.834190964</v>
      </c>
      <c r="E94" s="16" t="n">
        <f aca="false">IF(AND(A94&gt;12,MOD(A94,12)=Předpoklady!$B$8),Předpoklady!$B$12,0)</f>
        <v>0</v>
      </c>
      <c r="F94" s="16" t="n">
        <f aca="false">F93+E94</f>
        <v>50400</v>
      </c>
      <c r="G94" s="16" t="n">
        <f aca="false">G93*(1+Předpoklady!$B$10)+E94</f>
        <v>64090.5039515366</v>
      </c>
    </row>
    <row r="95" customFormat="false" ht="15" hidden="false" customHeight="false" outlineLevel="0" collapsed="false">
      <c r="A95" s="15" t="n">
        <v>94</v>
      </c>
      <c r="B95" s="15" t="n">
        <f aca="false">ROUNDUP(A95/12,0)</f>
        <v>8</v>
      </c>
      <c r="C95" s="14" t="n">
        <f aca="false">Předpoklady!$B$4</f>
        <v>4000</v>
      </c>
      <c r="D95" s="16" t="n">
        <f aca="false">(D94+C95)*(1+Předpoklady!$B$10)</f>
        <v>497243.514131967</v>
      </c>
      <c r="E95" s="16" t="n">
        <f aca="false">IF(AND(A95&gt;12,MOD(A95,12)=Předpoklady!$B$8),Předpoklady!$B$12,0)</f>
        <v>0</v>
      </c>
      <c r="F95" s="16" t="n">
        <f aca="false">F94+E95</f>
        <v>50400</v>
      </c>
      <c r="G95" s="16" t="n">
        <f aca="false">G94*(1+Předpoklady!$B$10)+E95</f>
        <v>64452.8809788307</v>
      </c>
    </row>
    <row r="96" customFormat="false" ht="15" hidden="false" customHeight="false" outlineLevel="0" collapsed="false">
      <c r="A96" s="15" t="n">
        <v>95</v>
      </c>
      <c r="B96" s="15" t="n">
        <f aca="false">ROUNDUP(A96/12,0)</f>
        <v>8</v>
      </c>
      <c r="C96" s="14" t="n">
        <f aca="false">Předpoklady!$B$4</f>
        <v>4000</v>
      </c>
      <c r="D96" s="16" t="n">
        <f aca="false">(D95+C96)*(1+Předpoklady!$B$10)</f>
        <v>504077.617835363</v>
      </c>
      <c r="E96" s="16" t="n">
        <f aca="false">IF(AND(A96&gt;12,MOD(A96,12)=Předpoklady!$B$8),Předpoklady!$B$12,0)</f>
        <v>0</v>
      </c>
      <c r="F96" s="16" t="n">
        <f aca="false">F95+E96</f>
        <v>50400</v>
      </c>
      <c r="G96" s="16" t="n">
        <f aca="false">G95*(1+Předpoklady!$B$10)+E96</f>
        <v>64817.3069385221</v>
      </c>
    </row>
    <row r="97" customFormat="false" ht="15" hidden="false" customHeight="false" outlineLevel="0" collapsed="false">
      <c r="A97" s="15" t="n">
        <v>96</v>
      </c>
      <c r="B97" s="15" t="n">
        <f aca="false">ROUNDUP(A97/12,0)</f>
        <v>8</v>
      </c>
      <c r="C97" s="14" t="n">
        <f aca="false">Předpoklady!$B$4</f>
        <v>4000</v>
      </c>
      <c r="D97" s="16" t="n">
        <f aca="false">(D96+C97)*(1+Předpoklady!$B$10)</f>
        <v>510950.362554691</v>
      </c>
      <c r="E97" s="16" t="n">
        <f aca="false">IF(AND(A97&gt;12,MOD(A97,12)=Předpoklady!$B$8),Předpoklady!$B$12,0)</f>
        <v>0</v>
      </c>
      <c r="F97" s="16" t="n">
        <f aca="false">F96+E97</f>
        <v>50400</v>
      </c>
      <c r="G97" s="16" t="n">
        <f aca="false">G96*(1+Předpoklady!$B$10)+E97</f>
        <v>65183.7934155726</v>
      </c>
    </row>
    <row r="98" customFormat="false" ht="15" hidden="false" customHeight="false" outlineLevel="0" collapsed="false">
      <c r="A98" s="15" t="n">
        <v>97</v>
      </c>
      <c r="B98" s="15" t="n">
        <f aca="false">ROUNDUP(A98/12,0)</f>
        <v>9</v>
      </c>
      <c r="C98" s="14" t="n">
        <f aca="false">Předpoklady!$B$4</f>
        <v>4000</v>
      </c>
      <c r="D98" s="16" t="n">
        <f aca="false">(D97+C98)*(1+Předpoklady!$B$10)</f>
        <v>517861.966771872</v>
      </c>
      <c r="E98" s="16" t="n">
        <f aca="false">IF(AND(A98&gt;12,MOD(A98,12)=Předpoklady!$B$8),Předpoklady!$B$12,0)</f>
        <v>0</v>
      </c>
      <c r="F98" s="16" t="n">
        <f aca="false">F97+E98</f>
        <v>50400</v>
      </c>
      <c r="G98" s="16" t="n">
        <f aca="false">G97*(1+Předpoklady!$B$10)+E98</f>
        <v>65552.3520604468</v>
      </c>
    </row>
    <row r="99" customFormat="false" ht="15" hidden="false" customHeight="false" outlineLevel="0" collapsed="false">
      <c r="A99" s="15" t="n">
        <v>98</v>
      </c>
      <c r="B99" s="15" t="n">
        <f aca="false">ROUNDUP(A99/12,0)</f>
        <v>9</v>
      </c>
      <c r="C99" s="14" t="n">
        <f aca="false">Předpoklady!$B$4</f>
        <v>4000</v>
      </c>
      <c r="D99" s="16" t="n">
        <f aca="false">(D98+C99)*(1+Předpoklady!$B$10)</f>
        <v>524812.650204158</v>
      </c>
      <c r="E99" s="16" t="n">
        <f aca="false">IF(AND(A99&gt;12,MOD(A99,12)=Předpoklady!$B$8),Předpoklady!$B$12,0)</f>
        <v>0</v>
      </c>
      <c r="F99" s="16" t="n">
        <f aca="false">F98+E99</f>
        <v>50400</v>
      </c>
      <c r="G99" s="16" t="n">
        <f aca="false">G98*(1+Předpoklady!$B$10)+E99</f>
        <v>65922.994589483</v>
      </c>
    </row>
    <row r="100" customFormat="false" ht="15" hidden="false" customHeight="false" outlineLevel="0" collapsed="false">
      <c r="A100" s="15" t="n">
        <v>99</v>
      </c>
      <c r="B100" s="15" t="n">
        <f aca="false">ROUNDUP(A100/12,0)</f>
        <v>9</v>
      </c>
      <c r="C100" s="14" t="n">
        <f aca="false">Předpoklady!$B$4</f>
        <v>4000</v>
      </c>
      <c r="D100" s="16" t="n">
        <f aca="false">(D99+C100)*(1+Předpoklady!$B$10)</f>
        <v>531802.633811111</v>
      </c>
      <c r="E100" s="16" t="n">
        <f aca="false">IF(AND(A100&gt;12,MOD(A100,12)=Předpoklady!$B$8),Předpoklady!$B$12,0)</f>
        <v>0</v>
      </c>
      <c r="F100" s="16" t="n">
        <f aca="false">F99+E100</f>
        <v>50400</v>
      </c>
      <c r="G100" s="16" t="n">
        <f aca="false">G99*(1+Předpoklady!$B$10)+E100</f>
        <v>66295.732785265</v>
      </c>
    </row>
    <row r="101" customFormat="false" ht="15" hidden="false" customHeight="false" outlineLevel="0" collapsed="false">
      <c r="A101" s="15" t="n">
        <v>100</v>
      </c>
      <c r="B101" s="15" t="n">
        <f aca="false">ROUNDUP(A101/12,0)</f>
        <v>9</v>
      </c>
      <c r="C101" s="14" t="n">
        <f aca="false">Předpoklady!$B$4</f>
        <v>4000</v>
      </c>
      <c r="D101" s="16" t="n">
        <f aca="false">(D100+C101)*(1+Předpoklady!$B$10)</f>
        <v>538832.139801634</v>
      </c>
      <c r="E101" s="16" t="n">
        <f aca="false">IF(AND(A101&gt;12,MOD(A101,12)=Předpoklady!$B$8),Předpoklady!$B$12,0)</f>
        <v>7200</v>
      </c>
      <c r="F101" s="16" t="n">
        <f aca="false">F100+E101</f>
        <v>57600</v>
      </c>
      <c r="G101" s="16" t="n">
        <f aca="false">G100*(1+Předpoklady!$B$10)+E101</f>
        <v>73870.5784969975</v>
      </c>
    </row>
    <row r="102" customFormat="false" ht="15" hidden="false" customHeight="false" outlineLevel="0" collapsed="false">
      <c r="A102" s="15" t="n">
        <v>101</v>
      </c>
      <c r="B102" s="15" t="n">
        <f aca="false">ROUNDUP(A102/12,0)</f>
        <v>9</v>
      </c>
      <c r="C102" s="14" t="n">
        <f aca="false">Předpoklady!$B$4</f>
        <v>4000</v>
      </c>
      <c r="D102" s="16" t="n">
        <f aca="false">(D101+C102)*(1+Předpoklady!$B$10)</f>
        <v>545901.391641028</v>
      </c>
      <c r="E102" s="16" t="n">
        <f aca="false">IF(AND(A102&gt;12,MOD(A102,12)=Předpoklady!$B$8),Předpoklady!$B$12,0)</f>
        <v>0</v>
      </c>
      <c r="F102" s="16" t="n">
        <f aca="false">F101+E102</f>
        <v>57600</v>
      </c>
      <c r="G102" s="16" t="n">
        <f aca="false">G101*(1+Předpoklady!$B$10)+E102</f>
        <v>74288.2534876713</v>
      </c>
    </row>
    <row r="103" customFormat="false" ht="15" hidden="false" customHeight="false" outlineLevel="0" collapsed="false">
      <c r="A103" s="15" t="n">
        <v>102</v>
      </c>
      <c r="B103" s="15" t="n">
        <f aca="false">ROUNDUP(A103/12,0)</f>
        <v>9</v>
      </c>
      <c r="C103" s="14" t="n">
        <f aca="false">Předpoklady!$B$4</f>
        <v>4000</v>
      </c>
      <c r="D103" s="16" t="n">
        <f aca="false">(D102+C103)*(1+Předpoklady!$B$10)</f>
        <v>553010.614058103</v>
      </c>
      <c r="E103" s="16" t="n">
        <f aca="false">IF(AND(A103&gt;12,MOD(A103,12)=Předpoklady!$B$8),Předpoklady!$B$12,0)</f>
        <v>0</v>
      </c>
      <c r="F103" s="16" t="n">
        <f aca="false">F102+E103</f>
        <v>57600</v>
      </c>
      <c r="G103" s="16" t="n">
        <f aca="false">G102*(1+Předpoklady!$B$10)+E103</f>
        <v>74708.290073467</v>
      </c>
    </row>
    <row r="104" customFormat="false" ht="15" hidden="false" customHeight="false" outlineLevel="0" collapsed="false">
      <c r="A104" s="15" t="n">
        <v>103</v>
      </c>
      <c r="B104" s="15" t="n">
        <f aca="false">ROUNDUP(A104/12,0)</f>
        <v>9</v>
      </c>
      <c r="C104" s="14" t="n">
        <f aca="false">Předpoklady!$B$4</f>
        <v>4000</v>
      </c>
      <c r="D104" s="16" t="n">
        <f aca="false">(D103+C104)*(1+Předpoklady!$B$10)</f>
        <v>560160.033052316</v>
      </c>
      <c r="E104" s="16" t="n">
        <f aca="false">IF(AND(A104&gt;12,MOD(A104,12)=Předpoklady!$B$8),Předpoklady!$B$12,0)</f>
        <v>0</v>
      </c>
      <c r="F104" s="16" t="n">
        <f aca="false">F103+E104</f>
        <v>57600</v>
      </c>
      <c r="G104" s="16" t="n">
        <f aca="false">G103*(1+Předpoklady!$B$10)+E104</f>
        <v>75130.7016071868</v>
      </c>
    </row>
    <row r="105" customFormat="false" ht="15" hidden="false" customHeight="false" outlineLevel="0" collapsed="false">
      <c r="A105" s="15" t="n">
        <v>104</v>
      </c>
      <c r="B105" s="15" t="n">
        <f aca="false">ROUNDUP(A105/12,0)</f>
        <v>9</v>
      </c>
      <c r="C105" s="14" t="n">
        <f aca="false">Předpoklady!$B$4</f>
        <v>4000</v>
      </c>
      <c r="D105" s="16" t="n">
        <f aca="false">(D104+C105)*(1+Předpoklady!$B$10)</f>
        <v>567349.875900957</v>
      </c>
      <c r="E105" s="16" t="n">
        <f aca="false">IF(AND(A105&gt;12,MOD(A105,12)=Předpoklady!$B$8),Předpoklady!$B$12,0)</f>
        <v>0</v>
      </c>
      <c r="F105" s="16" t="n">
        <f aca="false">F104+E105</f>
        <v>57600</v>
      </c>
      <c r="G105" s="16" t="n">
        <f aca="false">G104*(1+Předpoklady!$B$10)+E105</f>
        <v>75555.5015171316</v>
      </c>
    </row>
    <row r="106" customFormat="false" ht="15" hidden="false" customHeight="false" outlineLevel="0" collapsed="false">
      <c r="A106" s="15" t="n">
        <v>105</v>
      </c>
      <c r="B106" s="15" t="n">
        <f aca="false">ROUNDUP(A106/12,0)</f>
        <v>9</v>
      </c>
      <c r="C106" s="14" t="n">
        <f aca="false">Předpoklady!$B$4</f>
        <v>4000</v>
      </c>
      <c r="D106" s="16" t="n">
        <f aca="false">(D105+C106)*(1+Předpoklady!$B$10)</f>
        <v>574580.371166377</v>
      </c>
      <c r="E106" s="16" t="n">
        <f aca="false">IF(AND(A106&gt;12,MOD(A106,12)=Předpoklady!$B$8),Předpoklady!$B$12,0)</f>
        <v>0</v>
      </c>
      <c r="F106" s="16" t="n">
        <f aca="false">F105+E106</f>
        <v>57600</v>
      </c>
      <c r="G106" s="16" t="n">
        <f aca="false">G105*(1+Předpoklady!$B$10)+E106</f>
        <v>75982.7033075278</v>
      </c>
    </row>
    <row r="107" customFormat="false" ht="15" hidden="false" customHeight="false" outlineLevel="0" collapsed="false">
      <c r="A107" s="15" t="n">
        <v>106</v>
      </c>
      <c r="B107" s="15" t="n">
        <f aca="false">ROUNDUP(A107/12,0)</f>
        <v>9</v>
      </c>
      <c r="C107" s="14" t="n">
        <f aca="false">Předpoklady!$B$4</f>
        <v>4000</v>
      </c>
      <c r="D107" s="16" t="n">
        <f aca="false">(D106+C107)*(1+Předpoklady!$B$10)</f>
        <v>581851.74870325</v>
      </c>
      <c r="E107" s="16" t="n">
        <f aca="false">IF(AND(A107&gt;12,MOD(A107,12)=Předpoklady!$B$8),Předpoklady!$B$12,0)</f>
        <v>0</v>
      </c>
      <c r="F107" s="16" t="n">
        <f aca="false">F106+E107</f>
        <v>57600</v>
      </c>
      <c r="G107" s="16" t="n">
        <f aca="false">G106*(1+Předpoklady!$B$10)+E107</f>
        <v>76412.3205589566</v>
      </c>
    </row>
    <row r="108" customFormat="false" ht="15" hidden="false" customHeight="false" outlineLevel="0" collapsed="false">
      <c r="A108" s="15" t="n">
        <v>107</v>
      </c>
      <c r="B108" s="15" t="n">
        <f aca="false">ROUNDUP(A108/12,0)</f>
        <v>9</v>
      </c>
      <c r="C108" s="14" t="n">
        <f aca="false">Předpoklady!$B$4</f>
        <v>4000</v>
      </c>
      <c r="D108" s="16" t="n">
        <f aca="false">(D107+C108)*(1+Předpoklady!$B$10)</f>
        <v>589164.239665884</v>
      </c>
      <c r="E108" s="16" t="n">
        <f aca="false">IF(AND(A108&gt;12,MOD(A108,12)=Předpoklady!$B$8),Předpoklady!$B$12,0)</f>
        <v>0</v>
      </c>
      <c r="F108" s="16" t="n">
        <f aca="false">F107+E108</f>
        <v>57600</v>
      </c>
      <c r="G108" s="16" t="n">
        <f aca="false">G107*(1+Předpoklady!$B$10)+E108</f>
        <v>76844.366928786</v>
      </c>
    </row>
    <row r="109" customFormat="false" ht="15" hidden="false" customHeight="false" outlineLevel="0" collapsed="false">
      <c r="A109" s="15" t="n">
        <v>108</v>
      </c>
      <c r="B109" s="15" t="n">
        <f aca="false">ROUNDUP(A109/12,0)</f>
        <v>9</v>
      </c>
      <c r="C109" s="14" t="n">
        <f aca="false">Předpoklady!$B$4</f>
        <v>4000</v>
      </c>
      <c r="D109" s="16" t="n">
        <f aca="false">(D108+C109)*(1+Předpoklady!$B$10)</f>
        <v>596518.076515565</v>
      </c>
      <c r="E109" s="16" t="n">
        <f aca="false">IF(AND(A109&gt;12,MOD(A109,12)=Předpoklady!$B$8),Předpoklady!$B$12,0)</f>
        <v>0</v>
      </c>
      <c r="F109" s="16" t="n">
        <f aca="false">F108+E109</f>
        <v>57600</v>
      </c>
      <c r="G109" s="16" t="n">
        <f aca="false">G108*(1+Předpoklady!$B$10)+E109</f>
        <v>77278.8561516044</v>
      </c>
    </row>
    <row r="110" customFormat="false" ht="15" hidden="false" customHeight="false" outlineLevel="0" collapsed="false">
      <c r="A110" s="15" t="n">
        <v>109</v>
      </c>
      <c r="B110" s="15" t="n">
        <f aca="false">ROUNDUP(A110/12,0)</f>
        <v>10</v>
      </c>
      <c r="C110" s="14" t="n">
        <f aca="false">Předpoklady!$B$4</f>
        <v>4000</v>
      </c>
      <c r="D110" s="16" t="n">
        <f aca="false">(D109+C110)*(1+Předpoklady!$B$10)</f>
        <v>603913.493027949</v>
      </c>
      <c r="E110" s="16" t="n">
        <f aca="false">IF(AND(A110&gt;12,MOD(A110,12)=Předpoklady!$B$8),Předpoklady!$B$12,0)</f>
        <v>0</v>
      </c>
      <c r="F110" s="16" t="n">
        <f aca="false">F109+E110</f>
        <v>57600</v>
      </c>
      <c r="G110" s="16" t="n">
        <f aca="false">G109*(1+Předpoklady!$B$10)+E110</f>
        <v>77715.802039658</v>
      </c>
    </row>
    <row r="111" customFormat="false" ht="15" hidden="false" customHeight="false" outlineLevel="0" collapsed="false">
      <c r="A111" s="15" t="n">
        <v>110</v>
      </c>
      <c r="B111" s="15" t="n">
        <f aca="false">ROUNDUP(A111/12,0)</f>
        <v>10</v>
      </c>
      <c r="C111" s="14" t="n">
        <f aca="false">Předpoklady!$B$4</f>
        <v>4000</v>
      </c>
      <c r="D111" s="16" t="n">
        <f aca="false">(D110+C111)*(1+Předpoklady!$B$10)</f>
        <v>611350.724300494</v>
      </c>
      <c r="E111" s="16" t="n">
        <f aca="false">IF(AND(A111&gt;12,MOD(A111,12)=Předpoklady!$B$8),Předpoklady!$B$12,0)</f>
        <v>0</v>
      </c>
      <c r="F111" s="16" t="n">
        <f aca="false">F110+E111</f>
        <v>57600</v>
      </c>
      <c r="G111" s="16" t="n">
        <f aca="false">G110*(1+Předpoklady!$B$10)+E111</f>
        <v>78155.218483289</v>
      </c>
    </row>
    <row r="112" customFormat="false" ht="15" hidden="false" customHeight="false" outlineLevel="0" collapsed="false">
      <c r="A112" s="15" t="n">
        <v>111</v>
      </c>
      <c r="B112" s="15" t="n">
        <f aca="false">ROUNDUP(A112/12,0)</f>
        <v>10</v>
      </c>
      <c r="C112" s="14" t="n">
        <f aca="false">Předpoklady!$B$4</f>
        <v>4000</v>
      </c>
      <c r="D112" s="16" t="n">
        <f aca="false">(D111+C112)*(1+Předpoklady!$B$10)</f>
        <v>618830.006759934</v>
      </c>
      <c r="E112" s="16" t="n">
        <f aca="false">IF(AND(A112&gt;12,MOD(A112,12)=Předpoklady!$B$8),Předpoklady!$B$12,0)</f>
        <v>0</v>
      </c>
      <c r="F112" s="16" t="n">
        <f aca="false">F111+E112</f>
        <v>57600</v>
      </c>
      <c r="G112" s="16" t="n">
        <f aca="false">G111*(1+Předpoklady!$B$10)+E112</f>
        <v>78597.119451378</v>
      </c>
    </row>
    <row r="113" customFormat="false" ht="15" hidden="false" customHeight="false" outlineLevel="0" collapsed="false">
      <c r="A113" s="15" t="n">
        <v>112</v>
      </c>
      <c r="B113" s="15" t="n">
        <f aca="false">ROUNDUP(A113/12,0)</f>
        <v>10</v>
      </c>
      <c r="C113" s="14" t="n">
        <f aca="false">Předpoklady!$B$4</f>
        <v>4000</v>
      </c>
      <c r="D113" s="16" t="n">
        <f aca="false">(D112+C113)*(1+Předpoklady!$B$10)</f>
        <v>626351.578169793</v>
      </c>
      <c r="E113" s="16" t="n">
        <f aca="false">IF(AND(A113&gt;12,MOD(A113,12)=Předpoklady!$B$8),Předpoklady!$B$12,0)</f>
        <v>7200</v>
      </c>
      <c r="F113" s="16" t="n">
        <f aca="false">F112+E113</f>
        <v>64800</v>
      </c>
      <c r="G113" s="16" t="n">
        <f aca="false">G112*(1+Předpoklady!$B$10)+E113</f>
        <v>86241.5189917873</v>
      </c>
    </row>
    <row r="114" customFormat="false" ht="15" hidden="false" customHeight="false" outlineLevel="0" collapsed="false">
      <c r="A114" s="15" t="n">
        <v>113</v>
      </c>
      <c r="B114" s="15" t="n">
        <f aca="false">ROUNDUP(A114/12,0)</f>
        <v>10</v>
      </c>
      <c r="C114" s="14" t="n">
        <f aca="false">Předpoklady!$B$4</f>
        <v>4000</v>
      </c>
      <c r="D114" s="16" t="n">
        <f aca="false">(D113+C114)*(1+Předpoklady!$B$10)</f>
        <v>633915.677637946</v>
      </c>
      <c r="E114" s="16" t="n">
        <f aca="false">IF(AND(A114&gt;12,MOD(A114,12)=Předpoklady!$B$8),Předpoklady!$B$12,0)</f>
        <v>0</v>
      </c>
      <c r="F114" s="16" t="n">
        <f aca="false">F113+E114</f>
        <v>64800</v>
      </c>
      <c r="G114" s="16" t="n">
        <f aca="false">G113*(1+Předpoklady!$B$10)+E114</f>
        <v>86729.1410785976</v>
      </c>
    </row>
    <row r="115" customFormat="false" ht="15" hidden="false" customHeight="false" outlineLevel="0" collapsed="false">
      <c r="A115" s="15" t="n">
        <v>114</v>
      </c>
      <c r="B115" s="15" t="n">
        <f aca="false">ROUNDUP(A115/12,0)</f>
        <v>10</v>
      </c>
      <c r="C115" s="14" t="n">
        <f aca="false">Předpoklady!$B$4</f>
        <v>4000</v>
      </c>
      <c r="D115" s="16" t="n">
        <f aca="false">(D114+C115)*(1+Předpoklady!$B$10)</f>
        <v>641522.545624216</v>
      </c>
      <c r="E115" s="16" t="n">
        <f aca="false">IF(AND(A115&gt;12,MOD(A115,12)=Předpoklady!$B$8),Předpoklady!$B$12,0)</f>
        <v>0</v>
      </c>
      <c r="F115" s="16" t="n">
        <f aca="false">F114+E115</f>
        <v>64800</v>
      </c>
      <c r="G115" s="16" t="n">
        <f aca="false">G114*(1+Předpoklady!$B$10)+E115</f>
        <v>87219.5202515807</v>
      </c>
    </row>
    <row r="116" customFormat="false" ht="15" hidden="false" customHeight="false" outlineLevel="0" collapsed="false">
      <c r="A116" s="15" t="n">
        <v>115</v>
      </c>
      <c r="B116" s="15" t="n">
        <f aca="false">ROUNDUP(A116/12,0)</f>
        <v>10</v>
      </c>
      <c r="C116" s="14" t="n">
        <f aca="false">Předpoklady!$B$4</f>
        <v>4000</v>
      </c>
      <c r="D116" s="16" t="n">
        <f aca="false">(D115+C116)*(1+Předpoklady!$B$10)</f>
        <v>649172.423948023</v>
      </c>
      <c r="E116" s="16" t="n">
        <f aca="false">IF(AND(A116&gt;12,MOD(A116,12)=Předpoklady!$B$8),Předpoklady!$B$12,0)</f>
        <v>0</v>
      </c>
      <c r="F116" s="16" t="n">
        <f aca="false">F115+E116</f>
        <v>64800</v>
      </c>
      <c r="G116" s="16" t="n">
        <f aca="false">G115*(1+Předpoklady!$B$10)+E116</f>
        <v>87712.6720997029</v>
      </c>
    </row>
    <row r="117" customFormat="false" ht="15" hidden="false" customHeight="false" outlineLevel="0" collapsed="false">
      <c r="A117" s="15" t="n">
        <v>116</v>
      </c>
      <c r="B117" s="15" t="n">
        <f aca="false">ROUNDUP(A117/12,0)</f>
        <v>10</v>
      </c>
      <c r="C117" s="14" t="n">
        <f aca="false">Předpoklady!$B$4</f>
        <v>4000</v>
      </c>
      <c r="D117" s="16" t="n">
        <f aca="false">(D116+C117)*(1+Předpoklady!$B$10)</f>
        <v>656865.555796069</v>
      </c>
      <c r="E117" s="16" t="n">
        <f aca="false">IF(AND(A117&gt;12,MOD(A117,12)=Předpoklady!$B$8),Předpoklady!$B$12,0)</f>
        <v>0</v>
      </c>
      <c r="F117" s="16" t="n">
        <f aca="false">F116+E117</f>
        <v>64800</v>
      </c>
      <c r="G117" s="16" t="n">
        <f aca="false">G116*(1+Předpoklady!$B$10)+E117</f>
        <v>88208.6123000724</v>
      </c>
    </row>
    <row r="118" customFormat="false" ht="15" hidden="false" customHeight="false" outlineLevel="0" collapsed="false">
      <c r="A118" s="15" t="n">
        <v>117</v>
      </c>
      <c r="B118" s="15" t="n">
        <f aca="false">ROUNDUP(A118/12,0)</f>
        <v>10</v>
      </c>
      <c r="C118" s="14" t="n">
        <f aca="false">Předpoklady!$B$4</f>
        <v>4000</v>
      </c>
      <c r="D118" s="16" t="n">
        <f aca="false">(D117+C118)*(1+Předpoklady!$B$10)</f>
        <v>664602.185730069</v>
      </c>
      <c r="E118" s="16" t="n">
        <f aca="false">IF(AND(A118&gt;12,MOD(A118,12)=Předpoklady!$B$8),Předpoklady!$B$12,0)</f>
        <v>0</v>
      </c>
      <c r="F118" s="16" t="n">
        <f aca="false">F117+E118</f>
        <v>64800</v>
      </c>
      <c r="G118" s="16" t="n">
        <f aca="false">G117*(1+Předpoklady!$B$10)+E118</f>
        <v>88707.3566184383</v>
      </c>
    </row>
    <row r="119" customFormat="false" ht="15" hidden="false" customHeight="false" outlineLevel="0" collapsed="false">
      <c r="A119" s="15" t="n">
        <v>118</v>
      </c>
      <c r="B119" s="15" t="n">
        <f aca="false">ROUNDUP(A119/12,0)</f>
        <v>10</v>
      </c>
      <c r="C119" s="14" t="n">
        <f aca="false">Předpoklady!$B$4</f>
        <v>4000</v>
      </c>
      <c r="D119" s="16" t="n">
        <f aca="false">(D118+C119)*(1+Předpoklady!$B$10)</f>
        <v>672382.559694523</v>
      </c>
      <c r="E119" s="16" t="n">
        <f aca="false">IF(AND(A119&gt;12,MOD(A119,12)=Předpoklady!$B$8),Předpoklady!$B$12,0)</f>
        <v>0</v>
      </c>
      <c r="F119" s="16" t="n">
        <f aca="false">F118+E119</f>
        <v>64800</v>
      </c>
      <c r="G119" s="16" t="n">
        <f aca="false">G118*(1+Předpoklady!$B$10)+E119</f>
        <v>89208.9209096914</v>
      </c>
    </row>
    <row r="120" customFormat="false" ht="15" hidden="false" customHeight="false" outlineLevel="0" collapsed="false">
      <c r="A120" s="15" t="n">
        <v>119</v>
      </c>
      <c r="B120" s="15" t="n">
        <f aca="false">ROUNDUP(A120/12,0)</f>
        <v>10</v>
      </c>
      <c r="C120" s="14" t="n">
        <f aca="false">Předpoklady!$B$4</f>
        <v>4000</v>
      </c>
      <c r="D120" s="16" t="n">
        <f aca="false">(D119+C120)*(1+Předpoklady!$B$10)</f>
        <v>680206.925024542</v>
      </c>
      <c r="E120" s="16" t="n">
        <f aca="false">IF(AND(A120&gt;12,MOD(A120,12)=Předpoklady!$B$8),Předpoklady!$B$12,0)</f>
        <v>0</v>
      </c>
      <c r="F120" s="16" t="n">
        <f aca="false">F119+E120</f>
        <v>64800</v>
      </c>
      <c r="G120" s="16" t="n">
        <f aca="false">G119*(1+Předpoklady!$B$10)+E120</f>
        <v>89713.3211183683</v>
      </c>
    </row>
    <row r="121" customFormat="false" ht="15" hidden="false" customHeight="false" outlineLevel="0" collapsed="false">
      <c r="A121" s="15" t="n">
        <v>120</v>
      </c>
      <c r="B121" s="15" t="n">
        <f aca="false">ROUNDUP(A121/12,0)</f>
        <v>10</v>
      </c>
      <c r="C121" s="14" t="n">
        <f aca="false">Předpoklady!$B$4</f>
        <v>4000</v>
      </c>
      <c r="D121" s="16" t="n">
        <f aca="false">(D120+C121)*(1+Předpoklady!$B$10)</f>
        <v>688075.5304537</v>
      </c>
      <c r="E121" s="16" t="n">
        <f aca="false">IF(AND(A121&gt;12,MOD(A121,12)=Předpoklady!$B$8),Předpoklady!$B$12,0)</f>
        <v>0</v>
      </c>
      <c r="F121" s="16" t="n">
        <f aca="false">F120+E121</f>
        <v>64800</v>
      </c>
      <c r="G121" s="16" t="n">
        <f aca="false">G120*(1+Předpoklady!$B$10)+E121</f>
        <v>90220.5732791585</v>
      </c>
    </row>
    <row r="122" customFormat="false" ht="15" hidden="false" customHeight="false" outlineLevel="0" collapsed="false">
      <c r="A122" s="15" t="n">
        <v>121</v>
      </c>
      <c r="B122" s="15" t="n">
        <f aca="false">ROUNDUP(A122/12,0)</f>
        <v>11</v>
      </c>
      <c r="C122" s="14" t="n">
        <f aca="false">Předpoklady!$B$4</f>
        <v>4000</v>
      </c>
      <c r="D122" s="16" t="n">
        <f aca="false">(D121+C122)*(1+Předpoklady!$B$10)</f>
        <v>695988.626121951</v>
      </c>
      <c r="E122" s="16" t="n">
        <f aca="false">IF(AND(A122&gt;12,MOD(A122,12)=Předpoklady!$B$8),Předpoklady!$B$12,0)</f>
        <v>0</v>
      </c>
      <c r="F122" s="16" t="n">
        <f aca="false">F121+E122</f>
        <v>64800</v>
      </c>
      <c r="G122" s="16" t="n">
        <f aca="false">G121*(1+Předpoklady!$B$10)+E122</f>
        <v>90730.693517414</v>
      </c>
    </row>
    <row r="123" customFormat="false" ht="15" hidden="false" customHeight="false" outlineLevel="0" collapsed="false">
      <c r="A123" s="15" t="n">
        <v>122</v>
      </c>
      <c r="B123" s="15" t="n">
        <f aca="false">ROUNDUP(A123/12,0)</f>
        <v>11</v>
      </c>
      <c r="C123" s="14" t="n">
        <f aca="false">Předpoklady!$B$4</f>
        <v>4000</v>
      </c>
      <c r="D123" s="16" t="n">
        <f aca="false">(D122+C123)*(1+Předpoklady!$B$10)</f>
        <v>703946.463583574</v>
      </c>
      <c r="E123" s="16" t="n">
        <f aca="false">IF(AND(A123&gt;12,MOD(A123,12)=Předpoklady!$B$8),Předpoklady!$B$12,0)</f>
        <v>0</v>
      </c>
      <c r="F123" s="16" t="n">
        <f aca="false">F122+E123</f>
        <v>64800</v>
      </c>
      <c r="G123" s="16" t="n">
        <f aca="false">G122*(1+Předpoklady!$B$10)+E123</f>
        <v>91243.6980496615</v>
      </c>
    </row>
    <row r="124" customFormat="false" ht="15" hidden="false" customHeight="false" outlineLevel="0" collapsed="false">
      <c r="A124" s="15" t="n">
        <v>123</v>
      </c>
      <c r="B124" s="15" t="n">
        <f aca="false">ROUNDUP(A124/12,0)</f>
        <v>11</v>
      </c>
      <c r="C124" s="14" t="n">
        <f aca="false">Předpoklady!$B$4</f>
        <v>4000</v>
      </c>
      <c r="D124" s="16" t="n">
        <f aca="false">(D123+C124)*(1+Předpoklady!$B$10)</f>
        <v>711949.295815175</v>
      </c>
      <c r="E124" s="16" t="n">
        <f aca="false">IF(AND(A124&gt;12,MOD(A124,12)=Předpoklady!$B$8),Předpoklady!$B$12,0)</f>
        <v>0</v>
      </c>
      <c r="F124" s="16" t="n">
        <f aca="false">F123+E124</f>
        <v>64800</v>
      </c>
      <c r="G124" s="16" t="n">
        <f aca="false">G123*(1+Předpoklady!$B$10)+E124</f>
        <v>91759.6031841188</v>
      </c>
    </row>
    <row r="125" customFormat="false" ht="15" hidden="false" customHeight="false" outlineLevel="0" collapsed="false">
      <c r="A125" s="15" t="n">
        <v>124</v>
      </c>
      <c r="B125" s="15" t="n">
        <f aca="false">ROUNDUP(A125/12,0)</f>
        <v>11</v>
      </c>
      <c r="C125" s="14" t="n">
        <f aca="false">Předpoklady!$B$4</f>
        <v>4000</v>
      </c>
      <c r="D125" s="16" t="n">
        <f aca="false">(D124+C125)*(1+Předpoklady!$B$10)</f>
        <v>719997.377223725</v>
      </c>
      <c r="E125" s="16" t="n">
        <f aca="false">IF(AND(A125&gt;12,MOD(A125,12)=Předpoklady!$B$8),Předpoklady!$B$12,0)</f>
        <v>7200</v>
      </c>
      <c r="F125" s="16" t="n">
        <f aca="false">F124+E125</f>
        <v>72000</v>
      </c>
      <c r="G125" s="16" t="n">
        <f aca="false">G124*(1+Předpoklady!$B$10)+E125</f>
        <v>99478.4253212124</v>
      </c>
    </row>
    <row r="126" customFormat="false" ht="15" hidden="false" customHeight="false" outlineLevel="0" collapsed="false">
      <c r="A126" s="15" t="n">
        <v>125</v>
      </c>
      <c r="B126" s="15" t="n">
        <f aca="false">ROUNDUP(A126/12,0)</f>
        <v>11</v>
      </c>
      <c r="C126" s="14" t="n">
        <f aca="false">Předpoklady!$B$4</f>
        <v>4000</v>
      </c>
      <c r="D126" s="16" t="n">
        <f aca="false">(D125+C126)*(1+Předpoklady!$B$10)</f>
        <v>728090.963654648</v>
      </c>
      <c r="E126" s="16" t="n">
        <f aca="false">IF(AND(A126&gt;12,MOD(A126,12)=Předpoklady!$B$8),Předpoklady!$B$12,0)</f>
        <v>0</v>
      </c>
      <c r="F126" s="16" t="n">
        <f aca="false">F125+E126</f>
        <v>72000</v>
      </c>
      <c r="G126" s="16" t="n">
        <f aca="false">G125*(1+Předpoklady!$B$10)+E126</f>
        <v>100040.890800889</v>
      </c>
    </row>
    <row r="127" customFormat="false" ht="15" hidden="false" customHeight="false" outlineLevel="0" collapsed="false">
      <c r="A127" s="15" t="n">
        <v>126</v>
      </c>
      <c r="B127" s="15" t="n">
        <f aca="false">ROUNDUP(A127/12,0)</f>
        <v>11</v>
      </c>
      <c r="C127" s="14" t="n">
        <f aca="false">Předpoklady!$B$4</f>
        <v>4000</v>
      </c>
      <c r="D127" s="16" t="n">
        <f aca="false">(D126+C127)*(1+Předpoklady!$B$10)</f>
        <v>736230.312399957</v>
      </c>
      <c r="E127" s="16" t="n">
        <f aca="false">IF(AND(A127&gt;12,MOD(A127,12)=Předpoklady!$B$8),Předpoklady!$B$12,0)</f>
        <v>0</v>
      </c>
      <c r="F127" s="16" t="n">
        <f aca="false">F126+E127</f>
        <v>72000</v>
      </c>
      <c r="G127" s="16" t="n">
        <f aca="false">G126*(1+Předpoklady!$B$10)+E127</f>
        <v>100606.536542162</v>
      </c>
    </row>
    <row r="128" customFormat="false" ht="15" hidden="false" customHeight="false" outlineLevel="0" collapsed="false">
      <c r="A128" s="15" t="n">
        <v>127</v>
      </c>
      <c r="B128" s="15" t="n">
        <f aca="false">ROUNDUP(A128/12,0)</f>
        <v>11</v>
      </c>
      <c r="C128" s="14" t="n">
        <f aca="false">Předpoklady!$B$4</f>
        <v>4000</v>
      </c>
      <c r="D128" s="16" t="n">
        <f aca="false">(D127+C128)*(1+Předpoklady!$B$10)</f>
        <v>744415.682206431</v>
      </c>
      <c r="E128" s="16" t="n">
        <f aca="false">IF(AND(A128&gt;12,MOD(A128,12)=Předpoklady!$B$8),Předpoklady!$B$12,0)</f>
        <v>0</v>
      </c>
      <c r="F128" s="16" t="n">
        <f aca="false">F127+E128</f>
        <v>72000</v>
      </c>
      <c r="G128" s="16" t="n">
        <f aca="false">G127*(1+Předpoklady!$B$10)+E128</f>
        <v>101175.380526695</v>
      </c>
    </row>
    <row r="129" customFormat="false" ht="15" hidden="false" customHeight="false" outlineLevel="0" collapsed="false">
      <c r="A129" s="15" t="n">
        <v>128</v>
      </c>
      <c r="B129" s="15" t="n">
        <f aca="false">ROUNDUP(A129/12,0)</f>
        <v>11</v>
      </c>
      <c r="C129" s="14" t="n">
        <f aca="false">Předpoklady!$B$4</f>
        <v>4000</v>
      </c>
      <c r="D129" s="16" t="n">
        <f aca="false">(D128+C129)*(1+Předpoklady!$B$10)</f>
        <v>752647.33328384</v>
      </c>
      <c r="E129" s="16" t="n">
        <f aca="false">IF(AND(A129&gt;12,MOD(A129,12)=Předpoklady!$B$8),Předpoklady!$B$12,0)</f>
        <v>0</v>
      </c>
      <c r="F129" s="16" t="n">
        <f aca="false">F128+E129</f>
        <v>72000</v>
      </c>
      <c r="G129" s="16" t="n">
        <f aca="false">G128*(1+Předpoklady!$B$10)+E129</f>
        <v>101747.440837819</v>
      </c>
    </row>
    <row r="130" customFormat="false" ht="15" hidden="false" customHeight="false" outlineLevel="0" collapsed="false">
      <c r="A130" s="15" t="n">
        <v>129</v>
      </c>
      <c r="B130" s="15" t="n">
        <f aca="false">ROUNDUP(A130/12,0)</f>
        <v>11</v>
      </c>
      <c r="C130" s="14" t="n">
        <f aca="false">Předpoklady!$B$4</f>
        <v>4000</v>
      </c>
      <c r="D130" s="16" t="n">
        <f aca="false">(D129+C130)*(1+Předpoklady!$B$10)</f>
        <v>760925.527313219</v>
      </c>
      <c r="E130" s="16" t="n">
        <f aca="false">IF(AND(A130&gt;12,MOD(A130,12)=Předpoklady!$B$8),Předpoklady!$B$12,0)</f>
        <v>0</v>
      </c>
      <c r="F130" s="16" t="n">
        <f aca="false">F129+E130</f>
        <v>72000</v>
      </c>
      <c r="G130" s="16" t="n">
        <f aca="false">G129*(1+Předpoklady!$B$10)+E130</f>
        <v>102322.735661113</v>
      </c>
    </row>
    <row r="131" customFormat="false" ht="15" hidden="false" customHeight="false" outlineLevel="0" collapsed="false">
      <c r="A131" s="15" t="n">
        <v>130</v>
      </c>
      <c r="B131" s="15" t="n">
        <f aca="false">ROUNDUP(A131/12,0)</f>
        <v>11</v>
      </c>
      <c r="C131" s="14" t="n">
        <f aca="false">Předpoklady!$B$4</f>
        <v>4000</v>
      </c>
      <c r="D131" s="16" t="n">
        <f aca="false">(D130+C131)*(1+Předpoklady!$B$10)</f>
        <v>769250.527455186</v>
      </c>
      <c r="E131" s="16" t="n">
        <f aca="false">IF(AND(A131&gt;12,MOD(A131,12)=Předpoklady!$B$8),Předpoklady!$B$12,0)</f>
        <v>0</v>
      </c>
      <c r="F131" s="16" t="n">
        <f aca="false">F130+E131</f>
        <v>72000</v>
      </c>
      <c r="G131" s="16" t="n">
        <f aca="false">G130*(1+Předpoklady!$B$10)+E131</f>
        <v>102901.283284978</v>
      </c>
    </row>
    <row r="132" customFormat="false" ht="15" hidden="false" customHeight="false" outlineLevel="0" collapsed="false">
      <c r="A132" s="15" t="n">
        <v>131</v>
      </c>
      <c r="B132" s="15" t="n">
        <f aca="false">ROUNDUP(A132/12,0)</f>
        <v>11</v>
      </c>
      <c r="C132" s="14" t="n">
        <f aca="false">Předpoklady!$B$4</f>
        <v>4000</v>
      </c>
      <c r="D132" s="16" t="n">
        <f aca="false">(D131+C132)*(1+Předpoklady!$B$10)</f>
        <v>777622.598358305</v>
      </c>
      <c r="E132" s="16" t="n">
        <f aca="false">IF(AND(A132&gt;12,MOD(A132,12)=Předpoklady!$B$8),Předpoklady!$B$12,0)</f>
        <v>0</v>
      </c>
      <c r="F132" s="16" t="n">
        <f aca="false">F131+E132</f>
        <v>72000</v>
      </c>
      <c r="G132" s="16" t="n">
        <f aca="false">G131*(1+Předpoklady!$B$10)+E132</f>
        <v>103483.102101221</v>
      </c>
    </row>
    <row r="133" customFormat="false" ht="15" hidden="false" customHeight="false" outlineLevel="0" collapsed="false">
      <c r="A133" s="15" t="n">
        <v>132</v>
      </c>
      <c r="B133" s="15" t="n">
        <f aca="false">ROUNDUP(A133/12,0)</f>
        <v>11</v>
      </c>
      <c r="C133" s="14" t="n">
        <f aca="false">Předpoklady!$B$4</f>
        <v>4000</v>
      </c>
      <c r="D133" s="16" t="n">
        <f aca="false">(D132+C133)*(1+Předpoklady!$B$10)</f>
        <v>786042.006167504</v>
      </c>
      <c r="E133" s="16" t="n">
        <f aca="false">IF(AND(A133&gt;12,MOD(A133,12)=Předpoklady!$B$8),Předpoklady!$B$12,0)</f>
        <v>0</v>
      </c>
      <c r="F133" s="16" t="n">
        <f aca="false">F132+E133</f>
        <v>72000</v>
      </c>
      <c r="G133" s="16" t="n">
        <f aca="false">G132*(1+Předpoklady!$B$10)+E133</f>
        <v>104068.210605641</v>
      </c>
    </row>
    <row r="134" customFormat="false" ht="15" hidden="false" customHeight="false" outlineLevel="0" collapsed="false">
      <c r="A134" s="15" t="n">
        <v>133</v>
      </c>
      <c r="B134" s="15" t="n">
        <f aca="false">ROUNDUP(A134/12,0)</f>
        <v>12</v>
      </c>
      <c r="C134" s="14" t="n">
        <f aca="false">Předpoklady!$B$4</f>
        <v>4000</v>
      </c>
      <c r="D134" s="16" t="n">
        <f aca="false">(D133+C134)*(1+Předpoklady!$B$10)</f>
        <v>794509.018532533</v>
      </c>
      <c r="E134" s="16" t="n">
        <f aca="false">IF(AND(A134&gt;12,MOD(A134,12)=Předpoklady!$B$8),Předpoklady!$B$12,0)</f>
        <v>0</v>
      </c>
      <c r="F134" s="16" t="n">
        <f aca="false">F133+E134</f>
        <v>72000</v>
      </c>
      <c r="G134" s="16" t="n">
        <f aca="false">G133*(1+Předpoklady!$B$10)+E134</f>
        <v>104656.627398613</v>
      </c>
    </row>
    <row r="135" customFormat="false" ht="15" hidden="false" customHeight="false" outlineLevel="0" collapsed="false">
      <c r="A135" s="15" t="n">
        <v>134</v>
      </c>
      <c r="B135" s="15" t="n">
        <f aca="false">ROUNDUP(A135/12,0)</f>
        <v>12</v>
      </c>
      <c r="C135" s="14" t="n">
        <f aca="false">Předpoklady!$B$4</f>
        <v>4000</v>
      </c>
      <c r="D135" s="16" t="n">
        <f aca="false">(D134+C135)*(1+Předpoklady!$B$10)</f>
        <v>803023.90461647</v>
      </c>
      <c r="E135" s="16" t="n">
        <f aca="false">IF(AND(A135&gt;12,MOD(A135,12)=Předpoklady!$B$8),Předpoklady!$B$12,0)</f>
        <v>0</v>
      </c>
      <c r="F135" s="16" t="n">
        <f aca="false">F134+E135</f>
        <v>72000</v>
      </c>
      <c r="G135" s="16" t="n">
        <f aca="false">G134*(1+Předpoklady!$B$10)+E135</f>
        <v>105248.37118568</v>
      </c>
    </row>
    <row r="136" customFormat="false" ht="15" hidden="false" customHeight="false" outlineLevel="0" collapsed="false">
      <c r="A136" s="15" t="n">
        <v>135</v>
      </c>
      <c r="B136" s="15" t="n">
        <f aca="false">ROUNDUP(A136/12,0)</f>
        <v>12</v>
      </c>
      <c r="C136" s="14" t="n">
        <f aca="false">Předpoklady!$B$4</f>
        <v>4000</v>
      </c>
      <c r="D136" s="16" t="n">
        <f aca="false">(D135+C136)*(1+Předpoklady!$B$10)</f>
        <v>811586.935104283</v>
      </c>
      <c r="E136" s="16" t="n">
        <f aca="false">IF(AND(A136&gt;12,MOD(A136,12)=Předpoklady!$B$8),Předpoklady!$B$12,0)</f>
        <v>0</v>
      </c>
      <c r="F136" s="16" t="n">
        <f aca="false">F135+E136</f>
        <v>72000</v>
      </c>
      <c r="G136" s="16" t="n">
        <f aca="false">G135*(1+Předpoklady!$B$10)+E136</f>
        <v>105843.460778152</v>
      </c>
    </row>
    <row r="137" customFormat="false" ht="15" hidden="false" customHeight="false" outlineLevel="0" collapsed="false">
      <c r="A137" s="15" t="n">
        <v>136</v>
      </c>
      <c r="B137" s="15" t="n">
        <f aca="false">ROUNDUP(A137/12,0)</f>
        <v>12</v>
      </c>
      <c r="C137" s="14" t="n">
        <f aca="false">Předpoklady!$B$4</f>
        <v>4000</v>
      </c>
      <c r="D137" s="16" t="n">
        <f aca="false">(D136+C137)*(1+Předpoklady!$B$10)</f>
        <v>820198.382211431</v>
      </c>
      <c r="E137" s="16" t="n">
        <f aca="false">IF(AND(A137&gt;12,MOD(A137,12)=Předpoklady!$B$8),Předpoklady!$B$12,0)</f>
        <v>7200</v>
      </c>
      <c r="F137" s="16" t="n">
        <f aca="false">F136+E137</f>
        <v>79200</v>
      </c>
      <c r="G137" s="16" t="n">
        <f aca="false">G136*(1+Předpoklady!$B$10)+E137</f>
        <v>113641.915093697</v>
      </c>
    </row>
    <row r="138" customFormat="false" ht="15" hidden="false" customHeight="false" outlineLevel="0" collapsed="false">
      <c r="A138" s="15" t="n">
        <v>137</v>
      </c>
      <c r="B138" s="15" t="n">
        <f aca="false">ROUNDUP(A138/12,0)</f>
        <v>12</v>
      </c>
      <c r="C138" s="14" t="n">
        <f aca="false">Předpoklady!$B$4</f>
        <v>4000</v>
      </c>
      <c r="D138" s="16" t="n">
        <f aca="false">(D137+C138)*(1+Předpoklady!$B$10)</f>
        <v>828858.519692519</v>
      </c>
      <c r="E138" s="16" t="n">
        <f aca="false">IF(AND(A138&gt;12,MOD(A138,12)=Předpoklady!$B$8),Předpoklady!$B$12,0)</f>
        <v>0</v>
      </c>
      <c r="F138" s="16" t="n">
        <f aca="false">F137+E138</f>
        <v>79200</v>
      </c>
      <c r="G138" s="16" t="n">
        <f aca="false">G137*(1+Předpoklady!$B$10)+E138</f>
        <v>114284.46300374</v>
      </c>
    </row>
    <row r="139" customFormat="false" ht="15" hidden="false" customHeight="false" outlineLevel="0" collapsed="false">
      <c r="A139" s="15" t="n">
        <v>138</v>
      </c>
      <c r="B139" s="15" t="n">
        <f aca="false">ROUNDUP(A139/12,0)</f>
        <v>12</v>
      </c>
      <c r="C139" s="14" t="n">
        <f aca="false">Předpoklady!$B$4</f>
        <v>4000</v>
      </c>
      <c r="D139" s="16" t="n">
        <f aca="false">(D138+C139)*(1+Předpoklady!$B$10)</f>
        <v>837567.622849999</v>
      </c>
      <c r="E139" s="16" t="n">
        <f aca="false">IF(AND(A139&gt;12,MOD(A139,12)=Předpoklady!$B$8),Předpoklady!$B$12,0)</f>
        <v>0</v>
      </c>
      <c r="F139" s="16" t="n">
        <f aca="false">F138+E139</f>
        <v>79200</v>
      </c>
      <c r="G139" s="16" t="n">
        <f aca="false">G138*(1+Předpoklady!$B$10)+E139</f>
        <v>114930.643973085</v>
      </c>
    </row>
    <row r="140" customFormat="false" ht="15" hidden="false" customHeight="false" outlineLevel="0" collapsed="false">
      <c r="A140" s="15" t="n">
        <v>139</v>
      </c>
      <c r="B140" s="15" t="n">
        <f aca="false">ROUNDUP(A140/12,0)</f>
        <v>12</v>
      </c>
      <c r="C140" s="14" t="n">
        <f aca="false">Předpoklady!$B$4</f>
        <v>4000</v>
      </c>
      <c r="D140" s="16" t="n">
        <f aca="false">(D139+C140)*(1+Předpoklady!$B$10)</f>
        <v>846325.968542926</v>
      </c>
      <c r="E140" s="16" t="n">
        <f aca="false">IF(AND(A140&gt;12,MOD(A140,12)=Předpoklady!$B$8),Předpoklady!$B$12,0)</f>
        <v>0</v>
      </c>
      <c r="F140" s="16" t="n">
        <f aca="false">F139+E140</f>
        <v>79200</v>
      </c>
      <c r="G140" s="16" t="n">
        <f aca="false">G139*(1+Předpoklady!$B$10)+E140</f>
        <v>115580.478543577</v>
      </c>
    </row>
    <row r="141" customFormat="false" ht="15" hidden="false" customHeight="false" outlineLevel="0" collapsed="false">
      <c r="A141" s="15" t="n">
        <v>140</v>
      </c>
      <c r="B141" s="15" t="n">
        <f aca="false">ROUNDUP(A141/12,0)</f>
        <v>12</v>
      </c>
      <c r="C141" s="14" t="n">
        <f aca="false">Předpoklady!$B$4</f>
        <v>4000</v>
      </c>
      <c r="D141" s="16" t="n">
        <f aca="false">(D140+C141)*(1+Předpoklady!$B$10)</f>
        <v>855133.835195754</v>
      </c>
      <c r="E141" s="16" t="n">
        <f aca="false">IF(AND(A141&gt;12,MOD(A141,12)=Předpoklady!$B$8),Předpoklady!$B$12,0)</f>
        <v>0</v>
      </c>
      <c r="F141" s="16" t="n">
        <f aca="false">F140+E141</f>
        <v>79200</v>
      </c>
      <c r="G141" s="16" t="n">
        <f aca="false">G140*(1+Předpoklady!$B$10)+E141</f>
        <v>116233.987373208</v>
      </c>
    </row>
    <row r="142" customFormat="false" ht="15" hidden="false" customHeight="false" outlineLevel="0" collapsed="false">
      <c r="A142" s="15" t="n">
        <v>141</v>
      </c>
      <c r="B142" s="15" t="n">
        <f aca="false">ROUNDUP(A142/12,0)</f>
        <v>12</v>
      </c>
      <c r="C142" s="14" t="n">
        <f aca="false">Předpoklady!$B$4</f>
        <v>4000</v>
      </c>
      <c r="D142" s="16" t="n">
        <f aca="false">(D141+C142)*(1+Předpoklady!$B$10)</f>
        <v>863991.50280719</v>
      </c>
      <c r="E142" s="16" t="n">
        <f aca="false">IF(AND(A142&gt;12,MOD(A142,12)=Předpoklady!$B$8),Předpoklady!$B$12,0)</f>
        <v>0</v>
      </c>
      <c r="F142" s="16" t="n">
        <f aca="false">F141+E142</f>
        <v>79200</v>
      </c>
      <c r="G142" s="16" t="n">
        <f aca="false">G141*(1+Předpoklady!$B$10)+E142</f>
        <v>116891.191236774</v>
      </c>
    </row>
    <row r="143" customFormat="false" ht="15" hidden="false" customHeight="false" outlineLevel="0" collapsed="false">
      <c r="A143" s="15" t="n">
        <v>142</v>
      </c>
      <c r="B143" s="15" t="n">
        <f aca="false">ROUNDUP(A143/12,0)</f>
        <v>12</v>
      </c>
      <c r="C143" s="14" t="n">
        <f aca="false">Předpoklady!$B$4</f>
        <v>4000</v>
      </c>
      <c r="D143" s="16" t="n">
        <f aca="false">(D142+C143)*(1+Předpoklady!$B$10)</f>
        <v>872899.252959094</v>
      </c>
      <c r="E143" s="16" t="n">
        <f aca="false">IF(AND(A143&gt;12,MOD(A143,12)=Předpoklady!$B$8),Předpoklady!$B$12,0)</f>
        <v>0</v>
      </c>
      <c r="F143" s="16" t="n">
        <f aca="false">F142+E143</f>
        <v>79200</v>
      </c>
      <c r="G143" s="16" t="n">
        <f aca="false">G142*(1+Předpoklady!$B$10)+E143</f>
        <v>117552.111026534</v>
      </c>
    </row>
    <row r="144" customFormat="false" ht="15" hidden="false" customHeight="false" outlineLevel="0" collapsed="false">
      <c r="A144" s="15" t="n">
        <v>143</v>
      </c>
      <c r="B144" s="15" t="n">
        <f aca="false">ROUNDUP(A144/12,0)</f>
        <v>12</v>
      </c>
      <c r="C144" s="14" t="n">
        <f aca="false">Předpoklady!$B$4</f>
        <v>4000</v>
      </c>
      <c r="D144" s="16" t="n">
        <f aca="false">(D143+C144)*(1+Předpoklady!$B$10)</f>
        <v>881857.368825432</v>
      </c>
      <c r="E144" s="16" t="n">
        <f aca="false">IF(AND(A144&gt;12,MOD(A144,12)=Předpoklady!$B$8),Předpoklady!$B$12,0)</f>
        <v>0</v>
      </c>
      <c r="F144" s="16" t="n">
        <f aca="false">F143+E144</f>
        <v>79200</v>
      </c>
      <c r="G144" s="16" t="n">
        <f aca="false">G143*(1+Předpoklady!$B$10)+E144</f>
        <v>118216.767752874</v>
      </c>
    </row>
    <row r="145" customFormat="false" ht="15" hidden="false" customHeight="false" outlineLevel="0" collapsed="false">
      <c r="A145" s="15" t="n">
        <v>144</v>
      </c>
      <c r="B145" s="15" t="n">
        <f aca="false">ROUNDUP(A145/12,0)</f>
        <v>12</v>
      </c>
      <c r="C145" s="14" t="n">
        <f aca="false">Předpoklady!$B$4</f>
        <v>4000</v>
      </c>
      <c r="D145" s="16" t="n">
        <f aca="false">(D144+C145)*(1+Předpoklady!$B$10)</f>
        <v>890866.135181275</v>
      </c>
      <c r="E145" s="16" t="n">
        <f aca="false">IF(AND(A145&gt;12,MOD(A145,12)=Předpoklady!$B$8),Předpoklady!$B$12,0)</f>
        <v>0</v>
      </c>
      <c r="F145" s="16" t="n">
        <f aca="false">F144+E145</f>
        <v>79200</v>
      </c>
      <c r="G145" s="16" t="n">
        <f aca="false">G144*(1+Předpoklady!$B$10)+E145</f>
        <v>118885.182544978</v>
      </c>
    </row>
    <row r="146" customFormat="false" ht="15" hidden="false" customHeight="false" outlineLevel="0" collapsed="false">
      <c r="A146" s="15" t="n">
        <v>145</v>
      </c>
      <c r="B146" s="15" t="n">
        <f aca="false">ROUNDUP(A146/12,0)</f>
        <v>13</v>
      </c>
      <c r="C146" s="14" t="n">
        <f aca="false">Předpoklady!$B$4</f>
        <v>4000</v>
      </c>
      <c r="D146" s="16" t="n">
        <f aca="false">(D145+C146)*(1+Předpoklady!$B$10)</f>
        <v>899925.838411856</v>
      </c>
      <c r="E146" s="16" t="n">
        <f aca="false">IF(AND(A146&gt;12,MOD(A146,12)=Předpoklady!$B$8),Předpoklady!$B$12,0)</f>
        <v>0</v>
      </c>
      <c r="F146" s="16" t="n">
        <f aca="false">F145+E146</f>
        <v>79200</v>
      </c>
      <c r="G146" s="16" t="n">
        <f aca="false">G145*(1+Předpoklady!$B$10)+E146</f>
        <v>119557.376651496</v>
      </c>
    </row>
    <row r="147" customFormat="false" ht="15" hidden="false" customHeight="false" outlineLevel="0" collapsed="false">
      <c r="A147" s="15" t="n">
        <v>146</v>
      </c>
      <c r="B147" s="15" t="n">
        <f aca="false">ROUNDUP(A147/12,0)</f>
        <v>13</v>
      </c>
      <c r="C147" s="14" t="n">
        <f aca="false">Předpoklady!$B$4</f>
        <v>4000</v>
      </c>
      <c r="D147" s="16" t="n">
        <f aca="false">(D146+C147)*(1+Předpoklady!$B$10)</f>
        <v>909036.766521669</v>
      </c>
      <c r="E147" s="16" t="n">
        <f aca="false">IF(AND(A147&gt;12,MOD(A147,12)=Předpoklady!$B$8),Předpoklady!$B$12,0)</f>
        <v>0</v>
      </c>
      <c r="F147" s="16" t="n">
        <f aca="false">F146+E147</f>
        <v>79200</v>
      </c>
      <c r="G147" s="16" t="n">
        <f aca="false">G146*(1+Předpoklady!$B$10)+E147</f>
        <v>120233.37144122</v>
      </c>
    </row>
    <row r="148" customFormat="false" ht="15" hidden="false" customHeight="false" outlineLevel="0" collapsed="false">
      <c r="A148" s="15" t="n">
        <v>147</v>
      </c>
      <c r="B148" s="15" t="n">
        <f aca="false">ROUNDUP(A148/12,0)</f>
        <v>13</v>
      </c>
      <c r="C148" s="14" t="n">
        <f aca="false">Předpoklady!$B$4</f>
        <v>4000</v>
      </c>
      <c r="D148" s="16" t="n">
        <f aca="false">(D147+C148)*(1+Předpoklady!$B$10)</f>
        <v>918199.209143629</v>
      </c>
      <c r="E148" s="16" t="n">
        <f aca="false">IF(AND(A148&gt;12,MOD(A148,12)=Předpoklady!$B$8),Předpoklady!$B$12,0)</f>
        <v>0</v>
      </c>
      <c r="F148" s="16" t="n">
        <f aca="false">F147+E148</f>
        <v>79200</v>
      </c>
      <c r="G148" s="16" t="n">
        <f aca="false">G147*(1+Předpoklady!$B$10)+E148</f>
        <v>120913.188403766</v>
      </c>
    </row>
    <row r="149" customFormat="false" ht="15" hidden="false" customHeight="false" outlineLevel="0" collapsed="false">
      <c r="A149" s="15" t="n">
        <v>148</v>
      </c>
      <c r="B149" s="15" t="n">
        <f aca="false">ROUNDUP(A149/12,0)</f>
        <v>13</v>
      </c>
      <c r="C149" s="14" t="n">
        <f aca="false">Předpoklady!$B$4</f>
        <v>4000</v>
      </c>
      <c r="D149" s="16" t="n">
        <f aca="false">(D148+C149)*(1+Předpoklady!$B$10)</f>
        <v>927413.457548277</v>
      </c>
      <c r="E149" s="16" t="n">
        <f aca="false">IF(AND(A149&gt;12,MOD(A149,12)=Předpoklady!$B$8),Předpoklady!$B$12,0)</f>
        <v>7200</v>
      </c>
      <c r="F149" s="16" t="n">
        <f aca="false">F148+E149</f>
        <v>86400</v>
      </c>
      <c r="G149" s="16" t="n">
        <f aca="false">G148*(1+Předpoklady!$B$10)+E149</f>
        <v>128796.849150256</v>
      </c>
    </row>
    <row r="150" customFormat="false" ht="15" hidden="false" customHeight="false" outlineLevel="0" collapsed="false">
      <c r="A150" s="15" t="n">
        <v>149</v>
      </c>
      <c r="B150" s="15" t="n">
        <f aca="false">ROUNDUP(A150/12,0)</f>
        <v>13</v>
      </c>
      <c r="C150" s="14" t="n">
        <f aca="false">Předpoklady!$B$4</f>
        <v>4000</v>
      </c>
      <c r="D150" s="16" t="n">
        <f aca="false">(D149+C150)*(1+Předpoklady!$B$10)</f>
        <v>936679.804653041</v>
      </c>
      <c r="E150" s="16" t="n">
        <f aca="false">IF(AND(A150&gt;12,MOD(A150,12)=Předpoklady!$B$8),Předpoklady!$B$12,0)</f>
        <v>0</v>
      </c>
      <c r="F150" s="16" t="n">
        <f aca="false">F149+E150</f>
        <v>86400</v>
      </c>
      <c r="G150" s="16" t="n">
        <f aca="false">G149*(1+Předpoklady!$B$10)+E150</f>
        <v>129525.085260791</v>
      </c>
    </row>
    <row r="151" customFormat="false" ht="15" hidden="false" customHeight="false" outlineLevel="0" collapsed="false">
      <c r="A151" s="15" t="n">
        <v>150</v>
      </c>
      <c r="B151" s="15" t="n">
        <f aca="false">ROUNDUP(A151/12,0)</f>
        <v>13</v>
      </c>
      <c r="C151" s="14" t="n">
        <f aca="false">Předpoklady!$B$4</f>
        <v>4000</v>
      </c>
      <c r="D151" s="16" t="n">
        <f aca="false">(D150+C151)*(1+Předpoklady!$B$10)</f>
        <v>945998.545031545</v>
      </c>
      <c r="E151" s="16" t="n">
        <f aca="false">IF(AND(A151&gt;12,MOD(A151,12)=Předpoklady!$B$8),Předpoklady!$B$12,0)</f>
        <v>0</v>
      </c>
      <c r="F151" s="16" t="n">
        <f aca="false">F150+E151</f>
        <v>86400</v>
      </c>
      <c r="G151" s="16" t="n">
        <f aca="false">G150*(1+Předpoklady!$B$10)+E151</f>
        <v>130257.438924172</v>
      </c>
    </row>
    <row r="152" customFormat="false" ht="15" hidden="false" customHeight="false" outlineLevel="0" collapsed="false">
      <c r="A152" s="15" t="n">
        <v>151</v>
      </c>
      <c r="B152" s="15" t="n">
        <f aca="false">ROUNDUP(A152/12,0)</f>
        <v>13</v>
      </c>
      <c r="C152" s="14" t="n">
        <f aca="false">Předpoklady!$B$4</f>
        <v>4000</v>
      </c>
      <c r="D152" s="16" t="n">
        <f aca="false">(D151+C152)*(1+Předpoklady!$B$10)</f>
        <v>955369.974922977</v>
      </c>
      <c r="E152" s="16" t="n">
        <f aca="false">IF(AND(A152&gt;12,MOD(A152,12)=Předpoklady!$B$8),Předpoklady!$B$12,0)</f>
        <v>0</v>
      </c>
      <c r="F152" s="16" t="n">
        <f aca="false">F151+E152</f>
        <v>86400</v>
      </c>
      <c r="G152" s="16" t="n">
        <f aca="false">G151*(1+Předpoklady!$B$10)+E152</f>
        <v>130993.93342164</v>
      </c>
    </row>
    <row r="153" customFormat="false" ht="15" hidden="false" customHeight="false" outlineLevel="0" collapsed="false">
      <c r="A153" s="15" t="n">
        <v>152</v>
      </c>
      <c r="B153" s="15" t="n">
        <f aca="false">ROUNDUP(A153/12,0)</f>
        <v>13</v>
      </c>
      <c r="C153" s="14" t="n">
        <f aca="false">Předpoklady!$B$4</f>
        <v>4000</v>
      </c>
      <c r="D153" s="16" t="n">
        <f aca="false">(D152+C153)*(1+Předpoklady!$B$10)</f>
        <v>964794.392241503</v>
      </c>
      <c r="E153" s="16" t="n">
        <f aca="false">IF(AND(A153&gt;12,MOD(A153,12)=Předpoklady!$B$8),Předpoklady!$B$12,0)</f>
        <v>0</v>
      </c>
      <c r="F153" s="16" t="n">
        <f aca="false">F152+E153</f>
        <v>86400</v>
      </c>
      <c r="G153" s="16" t="n">
        <f aca="false">G152*(1+Předpoklady!$B$10)+E153</f>
        <v>131734.592166074</v>
      </c>
    </row>
    <row r="154" customFormat="false" ht="15" hidden="false" customHeight="false" outlineLevel="0" collapsed="false">
      <c r="A154" s="15" t="n">
        <v>153</v>
      </c>
      <c r="B154" s="15" t="n">
        <f aca="false">ROUNDUP(A154/12,0)</f>
        <v>13</v>
      </c>
      <c r="C154" s="14" t="n">
        <f aca="false">Předpoklady!$B$4</f>
        <v>4000</v>
      </c>
      <c r="D154" s="16" t="n">
        <f aca="false">(D153+C154)*(1+Předpoklady!$B$10)</f>
        <v>974272.096585739</v>
      </c>
      <c r="E154" s="16" t="n">
        <f aca="false">IF(AND(A154&gt;12,MOD(A154,12)=Předpoklady!$B$8),Předpoklady!$B$12,0)</f>
        <v>0</v>
      </c>
      <c r="F154" s="16" t="n">
        <f aca="false">F153+E154</f>
        <v>86400</v>
      </c>
      <c r="G154" s="16" t="n">
        <f aca="false">G153*(1+Předpoklady!$B$10)+E154</f>
        <v>132479.438702732</v>
      </c>
    </row>
    <row r="155" customFormat="false" ht="15" hidden="false" customHeight="false" outlineLevel="0" collapsed="false">
      <c r="A155" s="15" t="n">
        <v>154</v>
      </c>
      <c r="B155" s="15" t="n">
        <f aca="false">ROUNDUP(A155/12,0)</f>
        <v>13</v>
      </c>
      <c r="C155" s="14" t="n">
        <f aca="false">Předpoklady!$B$4</f>
        <v>4000</v>
      </c>
      <c r="D155" s="16" t="n">
        <f aca="false">(D154+C155)*(1+Předpoklady!$B$10)</f>
        <v>983803.389248277</v>
      </c>
      <c r="E155" s="16" t="n">
        <f aca="false">IF(AND(A155&gt;12,MOD(A155,12)=Předpoklady!$B$8),Předpoklady!$B$12,0)</f>
        <v>0</v>
      </c>
      <c r="F155" s="16" t="n">
        <f aca="false">F154+E155</f>
        <v>86400</v>
      </c>
      <c r="G155" s="16" t="n">
        <f aca="false">G154*(1+Předpoklady!$B$10)+E155</f>
        <v>133228.496709999</v>
      </c>
    </row>
    <row r="156" customFormat="false" ht="15" hidden="false" customHeight="false" outlineLevel="0" collapsed="false">
      <c r="A156" s="15" t="n">
        <v>155</v>
      </c>
      <c r="B156" s="15" t="n">
        <f aca="false">ROUNDUP(A156/12,0)</f>
        <v>13</v>
      </c>
      <c r="C156" s="14" t="n">
        <f aca="false">Předpoklady!$B$4</f>
        <v>4000</v>
      </c>
      <c r="D156" s="16" t="n">
        <f aca="false">(D155+C156)*(1+Předpoklady!$B$10)</f>
        <v>993388.573225258</v>
      </c>
      <c r="E156" s="16" t="n">
        <f aca="false">IF(AND(A156&gt;12,MOD(A156,12)=Předpoklady!$B$8),Předpoklady!$B$12,0)</f>
        <v>0</v>
      </c>
      <c r="F156" s="16" t="n">
        <f aca="false">F155+E156</f>
        <v>86400</v>
      </c>
      <c r="G156" s="16" t="n">
        <f aca="false">G155*(1+Předpoklady!$B$10)+E156</f>
        <v>133981.790000143</v>
      </c>
    </row>
    <row r="157" customFormat="false" ht="15" hidden="false" customHeight="false" outlineLevel="0" collapsed="false">
      <c r="A157" s="15" t="n">
        <v>156</v>
      </c>
      <c r="B157" s="15" t="n">
        <f aca="false">ROUNDUP(A157/12,0)</f>
        <v>13</v>
      </c>
      <c r="C157" s="14" t="n">
        <f aca="false">Předpoklady!$B$4</f>
        <v>4000</v>
      </c>
      <c r="D157" s="16" t="n">
        <f aca="false">(D156+C157)*(1+Předpoklady!$B$10)</f>
        <v>1003027.95322601</v>
      </c>
      <c r="E157" s="16" t="n">
        <f aca="false">IF(AND(A157&gt;12,MOD(A157,12)=Předpoklady!$B$8),Předpoklady!$B$12,0)</f>
        <v>0</v>
      </c>
      <c r="F157" s="16" t="n">
        <f aca="false">F156+E157</f>
        <v>86400</v>
      </c>
      <c r="G157" s="16" t="n">
        <f aca="false">G156*(1+Předpoklady!$B$10)+E157</f>
        <v>134739.342520068</v>
      </c>
    </row>
    <row r="158" customFormat="false" ht="15" hidden="false" customHeight="false" outlineLevel="0" collapsed="false">
      <c r="A158" s="15" t="n">
        <v>157</v>
      </c>
      <c r="B158" s="15" t="n">
        <f aca="false">ROUNDUP(A158/12,0)</f>
        <v>14</v>
      </c>
      <c r="C158" s="14" t="n">
        <f aca="false">Předpoklady!$B$4</f>
        <v>4000</v>
      </c>
      <c r="D158" s="16" t="n">
        <f aca="false">(D157+C158)*(1+Předpoklady!$B$10)</f>
        <v>1012721.83568273</v>
      </c>
      <c r="E158" s="16" t="n">
        <f aca="false">IF(AND(A158&gt;12,MOD(A158,12)=Předpoklady!$B$8),Předpoklady!$B$12,0)</f>
        <v>0</v>
      </c>
      <c r="F158" s="16" t="n">
        <f aca="false">F157+E158</f>
        <v>86400</v>
      </c>
      <c r="G158" s="16" t="n">
        <f aca="false">G157*(1+Předpoklady!$B$10)+E158</f>
        <v>135501.17835208</v>
      </c>
    </row>
    <row r="159" customFormat="false" ht="15" hidden="false" customHeight="false" outlineLevel="0" collapsed="false">
      <c r="A159" s="15" t="n">
        <v>158</v>
      </c>
      <c r="B159" s="15" t="n">
        <f aca="false">ROUNDUP(A159/12,0)</f>
        <v>14</v>
      </c>
      <c r="C159" s="14" t="n">
        <f aca="false">Předpoklady!$B$4</f>
        <v>4000</v>
      </c>
      <c r="D159" s="16" t="n">
        <f aca="false">(D158+C159)*(1+Předpoklady!$B$10)</f>
        <v>1022470.52876023</v>
      </c>
      <c r="E159" s="16" t="n">
        <f aca="false">IF(AND(A159&gt;12,MOD(A159,12)=Předpoklady!$B$8),Předpoklady!$B$12,0)</f>
        <v>0</v>
      </c>
      <c r="F159" s="16" t="n">
        <f aca="false">F158+E159</f>
        <v>86400</v>
      </c>
      <c r="G159" s="16" t="n">
        <f aca="false">G158*(1+Předpoklady!$B$10)+E159</f>
        <v>136267.321714648</v>
      </c>
    </row>
    <row r="160" customFormat="false" ht="15" hidden="false" customHeight="false" outlineLevel="0" collapsed="false">
      <c r="A160" s="15" t="n">
        <v>159</v>
      </c>
      <c r="B160" s="15" t="n">
        <f aca="false">ROUNDUP(A160/12,0)</f>
        <v>14</v>
      </c>
      <c r="C160" s="14" t="n">
        <f aca="false">Předpoklady!$B$4</f>
        <v>4000</v>
      </c>
      <c r="D160" s="16" t="n">
        <f aca="false">(D159+C160)*(1+Předpoklady!$B$10)</f>
        <v>1032274.34236573</v>
      </c>
      <c r="E160" s="16" t="n">
        <f aca="false">IF(AND(A160&gt;12,MOD(A160,12)=Předpoklady!$B$8),Předpoklady!$B$12,0)</f>
        <v>0</v>
      </c>
      <c r="F160" s="16" t="n">
        <f aca="false">F159+E160</f>
        <v>86400</v>
      </c>
      <c r="G160" s="16" t="n">
        <f aca="false">G159*(1+Předpoklady!$B$10)+E160</f>
        <v>137037.796963175</v>
      </c>
    </row>
    <row r="161" customFormat="false" ht="15" hidden="false" customHeight="false" outlineLevel="0" collapsed="false">
      <c r="A161" s="15" t="n">
        <v>160</v>
      </c>
      <c r="B161" s="15" t="n">
        <f aca="false">ROUNDUP(A161/12,0)</f>
        <v>14</v>
      </c>
      <c r="C161" s="14" t="n">
        <f aca="false">Předpoklady!$B$4</f>
        <v>4000</v>
      </c>
      <c r="D161" s="16" t="n">
        <f aca="false">(D160+C161)*(1+Předpoklady!$B$10)</f>
        <v>1042133.5881587</v>
      </c>
      <c r="E161" s="16" t="n">
        <f aca="false">IF(AND(A161&gt;12,MOD(A161,12)=Předpoklady!$B$8),Předpoklady!$B$12,0)</f>
        <v>7200</v>
      </c>
      <c r="F161" s="16" t="n">
        <f aca="false">F160+E161</f>
        <v>93600</v>
      </c>
      <c r="G161" s="16" t="n">
        <f aca="false">G160*(1+Předpoklady!$B$10)+E161</f>
        <v>145012.628590774</v>
      </c>
    </row>
    <row r="162" customFormat="false" ht="15" hidden="false" customHeight="false" outlineLevel="0" collapsed="false">
      <c r="A162" s="15" t="n">
        <v>161</v>
      </c>
      <c r="B162" s="15" t="n">
        <f aca="false">ROUNDUP(A162/12,0)</f>
        <v>14</v>
      </c>
      <c r="C162" s="14" t="n">
        <f aca="false">Předpoklady!$B$4</f>
        <v>4000</v>
      </c>
      <c r="D162" s="16" t="n">
        <f aca="false">(D161+C162)*(1+Předpoklady!$B$10)</f>
        <v>1052048.5795608</v>
      </c>
      <c r="E162" s="16" t="n">
        <f aca="false">IF(AND(A162&gt;12,MOD(A162,12)=Předpoklady!$B$8),Předpoklady!$B$12,0)</f>
        <v>0</v>
      </c>
      <c r="F162" s="16" t="n">
        <f aca="false">F161+E162</f>
        <v>93600</v>
      </c>
      <c r="G162" s="16" t="n">
        <f aca="false">G161*(1+Předpoklady!$B$10)+E162</f>
        <v>145832.551075836</v>
      </c>
    </row>
    <row r="163" customFormat="false" ht="15" hidden="false" customHeight="false" outlineLevel="0" collapsed="false">
      <c r="A163" s="15" t="n">
        <v>162</v>
      </c>
      <c r="B163" s="15" t="n">
        <f aca="false">ROUNDUP(A163/12,0)</f>
        <v>14</v>
      </c>
      <c r="C163" s="14" t="n">
        <f aca="false">Předpoklady!$B$4</f>
        <v>4000</v>
      </c>
      <c r="D163" s="16" t="n">
        <f aca="false">(D162+C163)*(1+Předpoklady!$B$10)</f>
        <v>1062019.6317658</v>
      </c>
      <c r="E163" s="16" t="n">
        <f aca="false">IF(AND(A163&gt;12,MOD(A163,12)=Předpoklady!$B$8),Předpoklady!$B$12,0)</f>
        <v>0</v>
      </c>
      <c r="F163" s="16" t="n">
        <f aca="false">F162+E163</f>
        <v>93600</v>
      </c>
      <c r="G163" s="16" t="n">
        <f aca="false">G162*(1+Předpoklady!$B$10)+E163</f>
        <v>146657.109521835</v>
      </c>
    </row>
    <row r="164" customFormat="false" ht="15" hidden="false" customHeight="false" outlineLevel="0" collapsed="false">
      <c r="A164" s="15" t="n">
        <v>163</v>
      </c>
      <c r="B164" s="15" t="n">
        <f aca="false">ROUNDUP(A164/12,0)</f>
        <v>14</v>
      </c>
      <c r="C164" s="14" t="n">
        <f aca="false">Předpoklady!$B$4</f>
        <v>4000</v>
      </c>
      <c r="D164" s="16" t="n">
        <f aca="false">(D163+C164)*(1+Předpoklady!$B$10)</f>
        <v>1072047.06174963</v>
      </c>
      <c r="E164" s="16" t="n">
        <f aca="false">IF(AND(A164&gt;12,MOD(A164,12)=Předpoklady!$B$8),Předpoklady!$B$12,0)</f>
        <v>0</v>
      </c>
      <c r="F164" s="16" t="n">
        <f aca="false">F163+E164</f>
        <v>93600</v>
      </c>
      <c r="G164" s="16" t="n">
        <f aca="false">G163*(1+Předpoklady!$B$10)+E164</f>
        <v>147486.330141168</v>
      </c>
    </row>
    <row r="165" customFormat="false" ht="15" hidden="false" customHeight="false" outlineLevel="0" collapsed="false">
      <c r="A165" s="15" t="n">
        <v>164</v>
      </c>
      <c r="B165" s="15" t="n">
        <f aca="false">ROUNDUP(A165/12,0)</f>
        <v>14</v>
      </c>
      <c r="C165" s="14" t="n">
        <f aca="false">Předpoklady!$B$4</f>
        <v>4000</v>
      </c>
      <c r="D165" s="16" t="n">
        <f aca="false">(D164+C165)*(1+Předpoklady!$B$10)</f>
        <v>1082131.18828045</v>
      </c>
      <c r="E165" s="16" t="n">
        <f aca="false">IF(AND(A165&gt;12,MOD(A165,12)=Předpoklady!$B$8),Předpoklady!$B$12,0)</f>
        <v>0</v>
      </c>
      <c r="F165" s="16" t="n">
        <f aca="false">F164+E165</f>
        <v>93600</v>
      </c>
      <c r="G165" s="16" t="n">
        <f aca="false">G164*(1+Předpoklady!$B$10)+E165</f>
        <v>148320.239294441</v>
      </c>
    </row>
    <row r="166" customFormat="false" ht="15" hidden="false" customHeight="false" outlineLevel="0" collapsed="false">
      <c r="A166" s="15" t="n">
        <v>165</v>
      </c>
      <c r="B166" s="15" t="n">
        <f aca="false">ROUNDUP(A166/12,0)</f>
        <v>14</v>
      </c>
      <c r="C166" s="14" t="n">
        <f aca="false">Předpoklady!$B$4</f>
        <v>4000</v>
      </c>
      <c r="D166" s="16" t="n">
        <f aca="false">(D165+C166)*(1+Předpoklady!$B$10)</f>
        <v>1092272.33192879</v>
      </c>
      <c r="E166" s="16" t="n">
        <f aca="false">IF(AND(A166&gt;12,MOD(A166,12)=Předpoklady!$B$8),Předpoklady!$B$12,0)</f>
        <v>0</v>
      </c>
      <c r="F166" s="16" t="n">
        <f aca="false">F165+E166</f>
        <v>93600</v>
      </c>
      <c r="G166" s="16" t="n">
        <f aca="false">G165*(1+Předpoklady!$B$10)+E166</f>
        <v>149158.863491307</v>
      </c>
    </row>
    <row r="167" customFormat="false" ht="15" hidden="false" customHeight="false" outlineLevel="0" collapsed="false">
      <c r="A167" s="15" t="n">
        <v>166</v>
      </c>
      <c r="B167" s="15" t="n">
        <f aca="false">ROUNDUP(A167/12,0)</f>
        <v>14</v>
      </c>
      <c r="C167" s="14" t="n">
        <f aca="false">Předpoklady!$B$4</f>
        <v>4000</v>
      </c>
      <c r="D167" s="16" t="n">
        <f aca="false">(D166+C167)*(1+Předpoklady!$B$10)</f>
        <v>1102470.8150777</v>
      </c>
      <c r="E167" s="16" t="n">
        <f aca="false">IF(AND(A167&gt;12,MOD(A167,12)=Předpoklady!$B$8),Předpoklady!$B$12,0)</f>
        <v>0</v>
      </c>
      <c r="F167" s="16" t="n">
        <f aca="false">F166+E167</f>
        <v>93600</v>
      </c>
      <c r="G167" s="16" t="n">
        <f aca="false">G166*(1+Předpoklady!$B$10)+E167</f>
        <v>150002.229391307</v>
      </c>
    </row>
    <row r="168" customFormat="false" ht="15" hidden="false" customHeight="false" outlineLevel="0" collapsed="false">
      <c r="A168" s="15" t="n">
        <v>167</v>
      </c>
      <c r="B168" s="15" t="n">
        <f aca="false">ROUNDUP(A168/12,0)</f>
        <v>14</v>
      </c>
      <c r="C168" s="14" t="n">
        <f aca="false">Předpoklady!$B$4</f>
        <v>4000</v>
      </c>
      <c r="D168" s="16" t="n">
        <f aca="false">(D167+C168)*(1+Předpoklady!$B$10)</f>
        <v>1112726.96193307</v>
      </c>
      <c r="E168" s="16" t="n">
        <f aca="false">IF(AND(A168&gt;12,MOD(A168,12)=Předpoklady!$B$8),Předpoklady!$B$12,0)</f>
        <v>0</v>
      </c>
      <c r="F168" s="16" t="n">
        <f aca="false">F167+E168</f>
        <v>93600</v>
      </c>
      <c r="G168" s="16" t="n">
        <f aca="false">G167*(1+Předpoklady!$B$10)+E168</f>
        <v>150850.36380472</v>
      </c>
    </row>
    <row r="169" customFormat="false" ht="15" hidden="false" customHeight="false" outlineLevel="0" collapsed="false">
      <c r="A169" s="15" t="n">
        <v>168</v>
      </c>
      <c r="B169" s="15" t="n">
        <f aca="false">ROUNDUP(A169/12,0)</f>
        <v>14</v>
      </c>
      <c r="C169" s="14" t="n">
        <f aca="false">Předpoklady!$B$4</f>
        <v>4000</v>
      </c>
      <c r="D169" s="16" t="n">
        <f aca="false">(D168+C169)*(1+Předpoklady!$B$10)</f>
        <v>1123041.09853388</v>
      </c>
      <c r="E169" s="16" t="n">
        <f aca="false">IF(AND(A169&gt;12,MOD(A169,12)=Předpoklady!$B$8),Předpoklady!$B$12,0)</f>
        <v>0</v>
      </c>
      <c r="F169" s="16" t="n">
        <f aca="false">F168+E169</f>
        <v>93600</v>
      </c>
      <c r="G169" s="16" t="n">
        <f aca="false">G168*(1+Předpoklady!$B$10)+E169</f>
        <v>151703.293693415</v>
      </c>
    </row>
    <row r="170" customFormat="false" ht="15" hidden="false" customHeight="false" outlineLevel="0" collapsed="false">
      <c r="A170" s="15" t="n">
        <v>169</v>
      </c>
      <c r="B170" s="15" t="n">
        <f aca="false">ROUNDUP(A170/12,0)</f>
        <v>15</v>
      </c>
      <c r="C170" s="14" t="n">
        <f aca="false">Předpoklady!$B$4</f>
        <v>4000</v>
      </c>
      <c r="D170" s="16" t="n">
        <f aca="false">(D169+C170)*(1+Předpoklady!$B$10)</f>
        <v>1133413.55276257</v>
      </c>
      <c r="E170" s="16" t="n">
        <f aca="false">IF(AND(A170&gt;12,MOD(A170,12)=Předpoklady!$B$8),Předpoklady!$B$12,0)</f>
        <v>0</v>
      </c>
      <c r="F170" s="16" t="n">
        <f aca="false">F169+E170</f>
        <v>93600</v>
      </c>
      <c r="G170" s="16" t="n">
        <f aca="false">G169*(1+Předpoklady!$B$10)+E170</f>
        <v>152561.046171706</v>
      </c>
    </row>
    <row r="171" customFormat="false" ht="15" hidden="false" customHeight="false" outlineLevel="0" collapsed="false">
      <c r="A171" s="15" t="n">
        <v>170</v>
      </c>
      <c r="B171" s="15" t="n">
        <f aca="false">ROUNDUP(A171/12,0)</f>
        <v>15</v>
      </c>
      <c r="C171" s="14" t="n">
        <f aca="false">Předpoklady!$B$4</f>
        <v>4000</v>
      </c>
      <c r="D171" s="16" t="n">
        <f aca="false">(D170+C171)*(1+Předpoklady!$B$10)</f>
        <v>1143844.65435549</v>
      </c>
      <c r="E171" s="16" t="n">
        <f aca="false">IF(AND(A171&gt;12,MOD(A171,12)=Předpoklady!$B$8),Předpoklady!$B$12,0)</f>
        <v>0</v>
      </c>
      <c r="F171" s="16" t="n">
        <f aca="false">F170+E171</f>
        <v>93600</v>
      </c>
      <c r="G171" s="16" t="n">
        <f aca="false">G170*(1+Předpoklady!$B$10)+E171</f>
        <v>153423.648507215</v>
      </c>
    </row>
    <row r="172" customFormat="false" ht="15" hidden="false" customHeight="false" outlineLevel="0" collapsed="false">
      <c r="A172" s="15" t="n">
        <v>171</v>
      </c>
      <c r="B172" s="15" t="n">
        <f aca="false">ROUNDUP(A172/12,0)</f>
        <v>15</v>
      </c>
      <c r="C172" s="14" t="n">
        <f aca="false">Předpoklady!$B$4</f>
        <v>4000</v>
      </c>
      <c r="D172" s="16" t="n">
        <f aca="false">(D171+C172)*(1+Předpoklady!$B$10)</f>
        <v>1154334.73491337</v>
      </c>
      <c r="E172" s="16" t="n">
        <f aca="false">IF(AND(A172&gt;12,MOD(A172,12)=Předpoklady!$B$8),Předpoklady!$B$12,0)</f>
        <v>0</v>
      </c>
      <c r="F172" s="16" t="n">
        <f aca="false">F171+E172</f>
        <v>93600</v>
      </c>
      <c r="G172" s="16" t="n">
        <f aca="false">G171*(1+Předpoklady!$B$10)+E172</f>
        <v>154291.128121741</v>
      </c>
    </row>
    <row r="173" customFormat="false" ht="15" hidden="false" customHeight="false" outlineLevel="0" collapsed="false">
      <c r="A173" s="15" t="n">
        <v>172</v>
      </c>
      <c r="B173" s="15" t="n">
        <f aca="false">ROUNDUP(A173/12,0)</f>
        <v>15</v>
      </c>
      <c r="C173" s="14" t="n">
        <f aca="false">Předpoklady!$B$4</f>
        <v>4000</v>
      </c>
      <c r="D173" s="16" t="n">
        <f aca="false">(D172+C173)*(1+Předpoklady!$B$10)</f>
        <v>1164884.12791186</v>
      </c>
      <c r="E173" s="16" t="n">
        <f aca="false">IF(AND(A173&gt;12,MOD(A173,12)=Předpoklady!$B$8),Předpoklady!$B$12,0)</f>
        <v>7200</v>
      </c>
      <c r="F173" s="16" t="n">
        <f aca="false">F172+E173</f>
        <v>100800</v>
      </c>
      <c r="G173" s="16" t="n">
        <f aca="false">G172*(1+Předpoklady!$B$10)+E173</f>
        <v>162363.512592128</v>
      </c>
    </row>
    <row r="174" customFormat="false" ht="15" hidden="false" customHeight="false" outlineLevel="0" collapsed="false">
      <c r="A174" s="15" t="n">
        <v>173</v>
      </c>
      <c r="B174" s="15" t="n">
        <f aca="false">ROUNDUP(A174/12,0)</f>
        <v>15</v>
      </c>
      <c r="C174" s="14" t="n">
        <f aca="false">Předpoklady!$B$4</f>
        <v>4000</v>
      </c>
      <c r="D174" s="16" t="n">
        <f aca="false">(D173+C174)*(1+Předpoklady!$B$10)</f>
        <v>1175493.1687121</v>
      </c>
      <c r="E174" s="16" t="n">
        <f aca="false">IF(AND(A174&gt;12,MOD(A174,12)=Předpoklady!$B$8),Předpoklady!$B$12,0)</f>
        <v>0</v>
      </c>
      <c r="F174" s="16" t="n">
        <f aca="false">F173+E174</f>
        <v>100800</v>
      </c>
      <c r="G174" s="16" t="n">
        <f aca="false">G173*(1+Předpoklady!$B$10)+E174</f>
        <v>163281.539497934</v>
      </c>
    </row>
    <row r="175" customFormat="false" ht="15" hidden="false" customHeight="false" outlineLevel="0" collapsed="false">
      <c r="A175" s="15" t="n">
        <v>174</v>
      </c>
      <c r="B175" s="15" t="n">
        <f aca="false">ROUNDUP(A175/12,0)</f>
        <v>15</v>
      </c>
      <c r="C175" s="14" t="n">
        <f aca="false">Předpoklady!$B$4</f>
        <v>4000</v>
      </c>
      <c r="D175" s="16" t="n">
        <f aca="false">(D174+C175)*(1+Předpoklady!$B$10)</f>
        <v>1186162.19457145</v>
      </c>
      <c r="E175" s="16" t="n">
        <f aca="false">IF(AND(A175&gt;12,MOD(A175,12)=Předpoklady!$B$8),Předpoklady!$B$12,0)</f>
        <v>0</v>
      </c>
      <c r="F175" s="16" t="n">
        <f aca="false">F174+E175</f>
        <v>100800</v>
      </c>
      <c r="G175" s="16" t="n">
        <f aca="false">G174*(1+Předpoklady!$B$10)+E175</f>
        <v>164204.757061335</v>
      </c>
    </row>
    <row r="176" customFormat="false" ht="15" hidden="false" customHeight="false" outlineLevel="0" collapsed="false">
      <c r="A176" s="15" t="n">
        <v>175</v>
      </c>
      <c r="B176" s="15" t="n">
        <f aca="false">ROUNDUP(A176/12,0)</f>
        <v>15</v>
      </c>
      <c r="C176" s="14" t="n">
        <f aca="false">Předpoklady!$B$4</f>
        <v>4000</v>
      </c>
      <c r="D176" s="16" t="n">
        <f aca="false">(D175+C176)*(1+Předpoklady!$B$10)</f>
        <v>1196891.54465415</v>
      </c>
      <c r="E176" s="16" t="n">
        <f aca="false">IF(AND(A176&gt;12,MOD(A176,12)=Předpoklady!$B$8),Předpoklady!$B$12,0)</f>
        <v>0</v>
      </c>
      <c r="F176" s="16" t="n">
        <f aca="false">F175+E176</f>
        <v>100800</v>
      </c>
      <c r="G176" s="16" t="n">
        <f aca="false">G175*(1+Předpoklady!$B$10)+E176</f>
        <v>165133.194631063</v>
      </c>
    </row>
    <row r="177" customFormat="false" ht="15" hidden="false" customHeight="false" outlineLevel="0" collapsed="false">
      <c r="A177" s="15" t="n">
        <v>176</v>
      </c>
      <c r="B177" s="15" t="n">
        <f aca="false">ROUNDUP(A177/12,0)</f>
        <v>15</v>
      </c>
      <c r="C177" s="14" t="n">
        <f aca="false">Předpoklady!$B$4</f>
        <v>4000</v>
      </c>
      <c r="D177" s="16" t="n">
        <f aca="false">(D176+C177)*(1+Předpoklady!$B$10)</f>
        <v>1207681.56004213</v>
      </c>
      <c r="E177" s="16" t="n">
        <f aca="false">IF(AND(A177&gt;12,MOD(A177,12)=Předpoklady!$B$8),Předpoklady!$B$12,0)</f>
        <v>0</v>
      </c>
      <c r="F177" s="16" t="n">
        <f aca="false">F176+E177</f>
        <v>100800</v>
      </c>
      <c r="G177" s="16" t="n">
        <f aca="false">G176*(1+Předpoklady!$B$10)+E177</f>
        <v>166066.881721794</v>
      </c>
    </row>
    <row r="178" customFormat="false" ht="15" hidden="false" customHeight="false" outlineLevel="0" collapsed="false">
      <c r="A178" s="15" t="n">
        <v>177</v>
      </c>
      <c r="B178" s="15" t="n">
        <f aca="false">ROUNDUP(A178/12,0)</f>
        <v>15</v>
      </c>
      <c r="C178" s="14" t="n">
        <f aca="false">Předpoklady!$B$4</f>
        <v>4000</v>
      </c>
      <c r="D178" s="16" t="n">
        <f aca="false">(D177+C178)*(1+Předpoklady!$B$10)</f>
        <v>1218532.58374585</v>
      </c>
      <c r="E178" s="16" t="n">
        <f aca="false">IF(AND(A178&gt;12,MOD(A178,12)=Předpoklady!$B$8),Předpoklady!$B$12,0)</f>
        <v>0</v>
      </c>
      <c r="F178" s="16" t="n">
        <f aca="false">F177+E178</f>
        <v>100800</v>
      </c>
      <c r="G178" s="16" t="n">
        <f aca="false">G177*(1+Předpoklady!$B$10)+E178</f>
        <v>167005.848015082</v>
      </c>
    </row>
    <row r="179" customFormat="false" ht="15" hidden="false" customHeight="false" outlineLevel="0" collapsed="false">
      <c r="A179" s="15" t="n">
        <v>178</v>
      </c>
      <c r="B179" s="15" t="n">
        <f aca="false">ROUNDUP(A179/12,0)</f>
        <v>15</v>
      </c>
      <c r="C179" s="14" t="n">
        <f aca="false">Předpoklady!$B$4</f>
        <v>4000</v>
      </c>
      <c r="D179" s="16" t="n">
        <f aca="false">(D178+C179)*(1+Předpoklady!$B$10)</f>
        <v>1229444.96071519</v>
      </c>
      <c r="E179" s="16" t="n">
        <f aca="false">IF(AND(A179&gt;12,MOD(A179,12)=Předpoklady!$B$8),Předpoklady!$B$12,0)</f>
        <v>0</v>
      </c>
      <c r="F179" s="16" t="n">
        <f aca="false">F178+E179</f>
        <v>100800</v>
      </c>
      <c r="G179" s="16" t="n">
        <f aca="false">G178*(1+Předpoklady!$B$10)+E179</f>
        <v>167950.123360306</v>
      </c>
    </row>
    <row r="180" customFormat="false" ht="15" hidden="false" customHeight="false" outlineLevel="0" collapsed="false">
      <c r="A180" s="15" t="n">
        <v>179</v>
      </c>
      <c r="B180" s="15" t="n">
        <f aca="false">ROUNDUP(A180/12,0)</f>
        <v>15</v>
      </c>
      <c r="C180" s="14" t="n">
        <f aca="false">Předpoklady!$B$4</f>
        <v>4000</v>
      </c>
      <c r="D180" s="16" t="n">
        <f aca="false">(D179+C180)*(1+Předpoklady!$B$10)</f>
        <v>1240419.03785043</v>
      </c>
      <c r="E180" s="16" t="n">
        <f aca="false">IF(AND(A180&gt;12,MOD(A180,12)=Předpoklady!$B$8),Předpoklady!$B$12,0)</f>
        <v>0</v>
      </c>
      <c r="F180" s="16" t="n">
        <f aca="false">F179+E180</f>
        <v>100800</v>
      </c>
      <c r="G180" s="16" t="n">
        <f aca="false">G179*(1+Předpoklady!$B$10)+E180</f>
        <v>168899.737775618</v>
      </c>
    </row>
    <row r="181" customFormat="false" ht="15" hidden="false" customHeight="false" outlineLevel="0" collapsed="false">
      <c r="A181" s="15" t="n">
        <v>180</v>
      </c>
      <c r="B181" s="15" t="n">
        <f aca="false">ROUNDUP(A181/12,0)</f>
        <v>15</v>
      </c>
      <c r="C181" s="14" t="n">
        <f aca="false">Předpoklady!$B$4</f>
        <v>4000</v>
      </c>
      <c r="D181" s="16" t="n">
        <f aca="false">(D180+C181)*(1+Předpoklady!$B$10)</f>
        <v>1251455.16401329</v>
      </c>
      <c r="E181" s="16" t="n">
        <f aca="false">IF(AND(A181&gt;12,MOD(A181,12)=Předpoklady!$B$8),Předpoklady!$B$12,0)</f>
        <v>0</v>
      </c>
      <c r="F181" s="16" t="n">
        <f aca="false">F180+E181</f>
        <v>100800</v>
      </c>
      <c r="G181" s="16" t="n">
        <f aca="false">G180*(1+Předpoklady!$B$10)+E181</f>
        <v>169854.721448896</v>
      </c>
    </row>
    <row r="182" customFormat="false" ht="15" hidden="false" customHeight="false" outlineLevel="0" collapsed="false">
      <c r="A182" s="15" t="n">
        <v>181</v>
      </c>
      <c r="B182" s="15" t="n">
        <f aca="false">ROUNDUP(A182/12,0)</f>
        <v>16</v>
      </c>
      <c r="C182" s="14" t="n">
        <f aca="false">Předpoklady!$B$4</f>
        <v>4000</v>
      </c>
      <c r="D182" s="16" t="n">
        <f aca="false">(D181+C182)*(1+Předpoklady!$B$10)</f>
        <v>1262553.69003799</v>
      </c>
      <c r="E182" s="16" t="n">
        <f aca="false">IF(AND(A182&gt;12,MOD(A182,12)=Předpoklady!$B$8),Předpoklady!$B$12,0)</f>
        <v>0</v>
      </c>
      <c r="F182" s="16" t="n">
        <f aca="false">F181+E182</f>
        <v>100800</v>
      </c>
      <c r="G182" s="16" t="n">
        <f aca="false">G181*(1+Předpoklady!$B$10)+E182</f>
        <v>170815.104738705</v>
      </c>
    </row>
    <row r="183" customFormat="false" ht="15" hidden="false" customHeight="false" outlineLevel="0" collapsed="false">
      <c r="A183" s="15" t="n">
        <v>182</v>
      </c>
      <c r="B183" s="15" t="n">
        <f aca="false">ROUNDUP(A183/12,0)</f>
        <v>16</v>
      </c>
      <c r="C183" s="14" t="n">
        <f aca="false">Předpoklady!$B$4</f>
        <v>4000</v>
      </c>
      <c r="D183" s="16" t="n">
        <f aca="false">(D182+C183)*(1+Předpoklady!$B$10)</f>
        <v>1273714.96874242</v>
      </c>
      <c r="E183" s="16" t="n">
        <f aca="false">IF(AND(A183&gt;12,MOD(A183,12)=Předpoklady!$B$8),Předpoklady!$B$12,0)</f>
        <v>0</v>
      </c>
      <c r="F183" s="16" t="n">
        <f aca="false">F182+E183</f>
        <v>100800</v>
      </c>
      <c r="G183" s="16" t="n">
        <f aca="false">G182*(1+Předpoklady!$B$10)+E183</f>
        <v>171780.918175262</v>
      </c>
    </row>
    <row r="184" customFormat="false" ht="15" hidden="false" customHeight="false" outlineLevel="0" collapsed="false">
      <c r="A184" s="15" t="n">
        <v>183</v>
      </c>
      <c r="B184" s="15" t="n">
        <f aca="false">ROUNDUP(A184/12,0)</f>
        <v>16</v>
      </c>
      <c r="C184" s="14" t="n">
        <f aca="false">Předpoklady!$B$4</f>
        <v>4000</v>
      </c>
      <c r="D184" s="16" t="n">
        <f aca="false">(D183+C184)*(1+Předpoklady!$B$10)</f>
        <v>1284939.35493936</v>
      </c>
      <c r="E184" s="16" t="n">
        <f aca="false">IF(AND(A184&gt;12,MOD(A184,12)=Předpoklady!$B$8),Předpoklady!$B$12,0)</f>
        <v>0</v>
      </c>
      <c r="F184" s="16" t="n">
        <f aca="false">F183+E184</f>
        <v>100800</v>
      </c>
      <c r="G184" s="16" t="n">
        <f aca="false">G183*(1+Předpoklady!$B$10)+E184</f>
        <v>172752.192461407</v>
      </c>
    </row>
    <row r="185" customFormat="false" ht="15" hidden="false" customHeight="false" outlineLevel="0" collapsed="false">
      <c r="A185" s="15" t="n">
        <v>184</v>
      </c>
      <c r="B185" s="15" t="n">
        <f aca="false">ROUNDUP(A185/12,0)</f>
        <v>16</v>
      </c>
      <c r="C185" s="14" t="n">
        <f aca="false">Předpoklady!$B$4</f>
        <v>4000</v>
      </c>
      <c r="D185" s="16" t="n">
        <f aca="false">(D184+C185)*(1+Předpoklady!$B$10)</f>
        <v>1296227.20544773</v>
      </c>
      <c r="E185" s="16" t="n">
        <f aca="false">IF(AND(A185&gt;12,MOD(A185,12)=Předpoklady!$B$8),Předpoklady!$B$12,0)</f>
        <v>7200</v>
      </c>
      <c r="F185" s="16" t="n">
        <f aca="false">F184+E185</f>
        <v>108000</v>
      </c>
      <c r="G185" s="16" t="n">
        <f aca="false">G184*(1+Předpoklady!$B$10)+E185</f>
        <v>180928.958473577</v>
      </c>
    </row>
    <row r="186" customFormat="false" ht="15" hidden="false" customHeight="false" outlineLevel="0" collapsed="false">
      <c r="A186" s="15" t="n">
        <v>185</v>
      </c>
      <c r="B186" s="15" t="n">
        <f aca="false">ROUNDUP(A186/12,0)</f>
        <v>16</v>
      </c>
      <c r="C186" s="14" t="n">
        <f aca="false">Předpoklady!$B$4</f>
        <v>4000</v>
      </c>
      <c r="D186" s="16" t="n">
        <f aca="false">(D185+C186)*(1+Předpoklady!$B$10)</f>
        <v>1307578.87910399</v>
      </c>
      <c r="E186" s="16" t="n">
        <f aca="false">IF(AND(A186&gt;12,MOD(A186,12)=Předpoklady!$B$8),Předpoklady!$B$12,0)</f>
        <v>0</v>
      </c>
      <c r="F186" s="16" t="n">
        <f aca="false">F185+E186</f>
        <v>108000</v>
      </c>
      <c r="G186" s="16" t="n">
        <f aca="false">G185*(1+Předpoklady!$B$10)+E186</f>
        <v>181951.957109579</v>
      </c>
    </row>
    <row r="187" customFormat="false" ht="15" hidden="false" customHeight="false" outlineLevel="0" collapsed="false">
      <c r="A187" s="15" t="n">
        <v>186</v>
      </c>
      <c r="B187" s="15" t="n">
        <f aca="false">ROUNDUP(A187/12,0)</f>
        <v>16</v>
      </c>
      <c r="C187" s="14" t="n">
        <f aca="false">Předpoklady!$B$4</f>
        <v>4000</v>
      </c>
      <c r="D187" s="16" t="n">
        <f aca="false">(D186+C187)*(1+Předpoklady!$B$10)</f>
        <v>1318994.7367735</v>
      </c>
      <c r="E187" s="16" t="n">
        <f aca="false">IF(AND(A187&gt;12,MOD(A187,12)=Předpoklady!$B$8),Předpoklady!$B$12,0)</f>
        <v>0</v>
      </c>
      <c r="F187" s="16" t="n">
        <f aca="false">F186+E187</f>
        <v>108000</v>
      </c>
      <c r="G187" s="16" t="n">
        <f aca="false">G186*(1+Předpoklady!$B$10)+E187</f>
        <v>182980.739928599</v>
      </c>
    </row>
    <row r="188" customFormat="false" ht="15" hidden="false" customHeight="false" outlineLevel="0" collapsed="false">
      <c r="A188" s="15" t="n">
        <v>187</v>
      </c>
      <c r="B188" s="15" t="n">
        <f aca="false">ROUNDUP(A188/12,0)</f>
        <v>16</v>
      </c>
      <c r="C188" s="14" t="n">
        <f aca="false">Předpoklady!$B$4</f>
        <v>4000</v>
      </c>
      <c r="D188" s="16" t="n">
        <f aca="false">(D187+C188)*(1+Předpoklady!$B$10)</f>
        <v>1330475.14136199</v>
      </c>
      <c r="E188" s="16" t="n">
        <f aca="false">IF(AND(A188&gt;12,MOD(A188,12)=Předpoklady!$B$8),Předpoklady!$B$12,0)</f>
        <v>0</v>
      </c>
      <c r="F188" s="16" t="n">
        <f aca="false">F187+E188</f>
        <v>108000</v>
      </c>
      <c r="G188" s="16" t="n">
        <f aca="false">G187*(1+Předpoklady!$B$10)+E188</f>
        <v>184015.33963525</v>
      </c>
    </row>
    <row r="189" customFormat="false" ht="15" hidden="false" customHeight="false" outlineLevel="0" collapsed="false">
      <c r="A189" s="15" t="n">
        <v>188</v>
      </c>
      <c r="B189" s="15" t="n">
        <f aca="false">ROUNDUP(A189/12,0)</f>
        <v>16</v>
      </c>
      <c r="C189" s="14" t="n">
        <f aca="false">Předpoklady!$B$4</f>
        <v>4000</v>
      </c>
      <c r="D189" s="16" t="n">
        <f aca="false">(D188+C189)*(1+Předpoklady!$B$10)</f>
        <v>1342020.45782713</v>
      </c>
      <c r="E189" s="16" t="n">
        <f aca="false">IF(AND(A189&gt;12,MOD(A189,12)=Předpoklady!$B$8),Předpoklady!$B$12,0)</f>
        <v>0</v>
      </c>
      <c r="F189" s="16" t="n">
        <f aca="false">F188+E189</f>
        <v>108000</v>
      </c>
      <c r="G189" s="16" t="n">
        <f aca="false">G188*(1+Předpoklady!$B$10)+E189</f>
        <v>185055.789119061</v>
      </c>
    </row>
    <row r="190" customFormat="false" ht="15" hidden="false" customHeight="false" outlineLevel="0" collapsed="false">
      <c r="A190" s="15" t="n">
        <v>189</v>
      </c>
      <c r="B190" s="15" t="n">
        <f aca="false">ROUNDUP(A190/12,0)</f>
        <v>16</v>
      </c>
      <c r="C190" s="14" t="n">
        <f aca="false">Předpoklady!$B$4</f>
        <v>4000</v>
      </c>
      <c r="D190" s="16" t="n">
        <f aca="false">(D189+C190)*(1+Předpoklady!$B$10)</f>
        <v>1353631.0531901</v>
      </c>
      <c r="E190" s="16" t="n">
        <f aca="false">IF(AND(A190&gt;12,MOD(A190,12)=Předpoklady!$B$8),Předpoklady!$B$12,0)</f>
        <v>0</v>
      </c>
      <c r="F190" s="16" t="n">
        <f aca="false">F189+E190</f>
        <v>108000</v>
      </c>
      <c r="G190" s="16" t="n">
        <f aca="false">G189*(1+Předpoklady!$B$10)+E190</f>
        <v>186102.121455521</v>
      </c>
    </row>
    <row r="191" customFormat="false" ht="15" hidden="false" customHeight="false" outlineLevel="0" collapsed="false">
      <c r="A191" s="15" t="n">
        <v>190</v>
      </c>
      <c r="B191" s="15" t="n">
        <f aca="false">ROUNDUP(A191/12,0)</f>
        <v>16</v>
      </c>
      <c r="C191" s="14" t="n">
        <f aca="false">Předpoklady!$B$4</f>
        <v>4000</v>
      </c>
      <c r="D191" s="16" t="n">
        <f aca="false">(D190+C191)*(1+Předpoklady!$B$10)</f>
        <v>1365307.2965473</v>
      </c>
      <c r="E191" s="16" t="n">
        <f aca="false">IF(AND(A191&gt;12,MOD(A191,12)=Předpoklady!$B$8),Předpoklady!$B$12,0)</f>
        <v>0</v>
      </c>
      <c r="F191" s="16" t="n">
        <f aca="false">F190+E191</f>
        <v>108000</v>
      </c>
      <c r="G191" s="16" t="n">
        <f aca="false">G190*(1+Předpoklady!$B$10)+E191</f>
        <v>187154.369907135</v>
      </c>
    </row>
    <row r="192" customFormat="false" ht="15" hidden="false" customHeight="false" outlineLevel="0" collapsed="false">
      <c r="A192" s="15" t="n">
        <v>191</v>
      </c>
      <c r="B192" s="15" t="n">
        <f aca="false">ROUNDUP(A192/12,0)</f>
        <v>16</v>
      </c>
      <c r="C192" s="14" t="n">
        <f aca="false">Předpoklady!$B$4</f>
        <v>4000</v>
      </c>
      <c r="D192" s="16" t="n">
        <f aca="false">(D191+C192)*(1+Předpoklady!$B$10)</f>
        <v>1377049.55908201</v>
      </c>
      <c r="E192" s="16" t="n">
        <f aca="false">IF(AND(A192&gt;12,MOD(A192,12)=Předpoklady!$B$8),Předpoklady!$B$12,0)</f>
        <v>0</v>
      </c>
      <c r="F192" s="16" t="n">
        <f aca="false">F191+E192</f>
        <v>108000</v>
      </c>
      <c r="G192" s="16" t="n">
        <f aca="false">G191*(1+Předpoklady!$B$10)+E192</f>
        <v>188212.567924478</v>
      </c>
    </row>
    <row r="193" customFormat="false" ht="15" hidden="false" customHeight="false" outlineLevel="0" collapsed="false">
      <c r="A193" s="15" t="n">
        <v>192</v>
      </c>
      <c r="B193" s="15" t="n">
        <f aca="false">ROUNDUP(A193/12,0)</f>
        <v>16</v>
      </c>
      <c r="C193" s="14" t="n">
        <f aca="false">Předpoklady!$B$4</f>
        <v>4000</v>
      </c>
      <c r="D193" s="16" t="n">
        <f aca="false">(D192+C193)*(1+Předpoklady!$B$10)</f>
        <v>1388858.21407627</v>
      </c>
      <c r="E193" s="16" t="n">
        <f aca="false">IF(AND(A193&gt;12,MOD(A193,12)=Předpoklady!$B$8),Předpoklady!$B$12,0)</f>
        <v>0</v>
      </c>
      <c r="F193" s="16" t="n">
        <f aca="false">F192+E193</f>
        <v>108000</v>
      </c>
      <c r="G193" s="16" t="n">
        <f aca="false">G192*(1+Předpoklady!$B$10)+E193</f>
        <v>189276.74914726</v>
      </c>
    </row>
    <row r="194" customFormat="false" ht="15" hidden="false" customHeight="false" outlineLevel="0" collapsed="false">
      <c r="A194" s="15" t="n">
        <v>193</v>
      </c>
      <c r="B194" s="15" t="n">
        <f aca="false">ROUNDUP(A194/12,0)</f>
        <v>17</v>
      </c>
      <c r="C194" s="14" t="n">
        <f aca="false">Předpoklady!$B$4</f>
        <v>4000</v>
      </c>
      <c r="D194" s="16" t="n">
        <f aca="false">(D193+C194)*(1+Předpoklady!$B$10)</f>
        <v>1400733.6369227</v>
      </c>
      <c r="E194" s="16" t="n">
        <f aca="false">IF(AND(A194&gt;12,MOD(A194,12)=Předpoklady!$B$8),Předpoklady!$B$12,0)</f>
        <v>0</v>
      </c>
      <c r="F194" s="16" t="n">
        <f aca="false">F193+E194</f>
        <v>108000</v>
      </c>
      <c r="G194" s="16" t="n">
        <f aca="false">G193*(1+Předpoklady!$B$10)+E194</f>
        <v>190346.947405394</v>
      </c>
    </row>
    <row r="195" customFormat="false" ht="15" hidden="false" customHeight="false" outlineLevel="0" collapsed="false">
      <c r="A195" s="15" t="n">
        <v>194</v>
      </c>
      <c r="B195" s="15" t="n">
        <f aca="false">ROUNDUP(A195/12,0)</f>
        <v>17</v>
      </c>
      <c r="C195" s="14" t="n">
        <f aca="false">Předpoklady!$B$4</f>
        <v>4000</v>
      </c>
      <c r="D195" s="16" t="n">
        <f aca="false">(D194+C195)*(1+Předpoklady!$B$10)</f>
        <v>1412676.20513644</v>
      </c>
      <c r="E195" s="16" t="n">
        <f aca="false">IF(AND(A195&gt;12,MOD(A195,12)=Předpoklady!$B$8),Předpoklady!$B$12,0)</f>
        <v>0</v>
      </c>
      <c r="F195" s="16" t="n">
        <f aca="false">F194+E195</f>
        <v>108000</v>
      </c>
      <c r="G195" s="16" t="n">
        <f aca="false">G194*(1+Předpoklady!$B$10)+E195</f>
        <v>191423.196720073</v>
      </c>
    </row>
    <row r="196" customFormat="false" ht="15" hidden="false" customHeight="false" outlineLevel="0" collapsed="false">
      <c r="A196" s="15" t="n">
        <v>195</v>
      </c>
      <c r="B196" s="15" t="n">
        <f aca="false">ROUNDUP(A196/12,0)</f>
        <v>17</v>
      </c>
      <c r="C196" s="14" t="n">
        <f aca="false">Předpoklady!$B$4</f>
        <v>4000</v>
      </c>
      <c r="D196" s="16" t="n">
        <f aca="false">(D195+C196)*(1+Předpoklady!$B$10)</f>
        <v>1424686.29836716</v>
      </c>
      <c r="E196" s="16" t="n">
        <f aca="false">IF(AND(A196&gt;12,MOD(A196,12)=Předpoklady!$B$8),Předpoklady!$B$12,0)</f>
        <v>0</v>
      </c>
      <c r="F196" s="16" t="n">
        <f aca="false">F195+E196</f>
        <v>108000</v>
      </c>
      <c r="G196" s="16" t="n">
        <f aca="false">G195*(1+Předpoklady!$B$10)+E196</f>
        <v>192505.53130485</v>
      </c>
    </row>
    <row r="197" customFormat="false" ht="15" hidden="false" customHeight="false" outlineLevel="0" collapsed="false">
      <c r="A197" s="15" t="n">
        <v>196</v>
      </c>
      <c r="B197" s="15" t="n">
        <f aca="false">ROUNDUP(A197/12,0)</f>
        <v>17</v>
      </c>
      <c r="C197" s="14" t="n">
        <f aca="false">Předpoklady!$B$4</f>
        <v>4000</v>
      </c>
      <c r="D197" s="16" t="n">
        <f aca="false">(D196+C197)*(1+Předpoklady!$B$10)</f>
        <v>1436764.29841112</v>
      </c>
      <c r="E197" s="16" t="n">
        <f aca="false">IF(AND(A197&gt;12,MOD(A197,12)=Předpoklady!$B$8),Předpoklady!$B$12,0)</f>
        <v>7200</v>
      </c>
      <c r="F197" s="16" t="n">
        <f aca="false">F196+E197</f>
        <v>115200</v>
      </c>
      <c r="G197" s="16" t="n">
        <f aca="false">G196*(1+Předpoklady!$B$10)+E197</f>
        <v>200793.985566728</v>
      </c>
    </row>
    <row r="198" customFormat="false" ht="15" hidden="false" customHeight="false" outlineLevel="0" collapsed="false">
      <c r="A198" s="15" t="n">
        <v>197</v>
      </c>
      <c r="B198" s="15" t="n">
        <f aca="false">ROUNDUP(A198/12,0)</f>
        <v>17</v>
      </c>
      <c r="C198" s="14" t="n">
        <f aca="false">Předpoklady!$B$4</f>
        <v>4000</v>
      </c>
      <c r="D198" s="16" t="n">
        <f aca="false">(D197+C198)*(1+Předpoklady!$B$10)</f>
        <v>1448910.58922332</v>
      </c>
      <c r="E198" s="16" t="n">
        <f aca="false">IF(AND(A198&gt;12,MOD(A198,12)=Předpoklady!$B$8),Předpoklady!$B$12,0)</f>
        <v>0</v>
      </c>
      <c r="F198" s="16" t="n">
        <f aca="false">F197+E198</f>
        <v>115200</v>
      </c>
      <c r="G198" s="16" t="n">
        <f aca="false">G197*(1+Předpoklady!$B$10)+E198</f>
        <v>201929.303954038</v>
      </c>
    </row>
    <row r="199" customFormat="false" ht="15" hidden="false" customHeight="false" outlineLevel="0" collapsed="false">
      <c r="A199" s="15" t="n">
        <v>198</v>
      </c>
      <c r="B199" s="15" t="n">
        <f aca="false">ROUNDUP(A199/12,0)</f>
        <v>17</v>
      </c>
      <c r="C199" s="14" t="n">
        <f aca="false">Předpoklady!$B$4</f>
        <v>4000</v>
      </c>
      <c r="D199" s="16" t="n">
        <f aca="false">(D198+C199)*(1+Předpoklady!$B$10)</f>
        <v>1461125.55692969</v>
      </c>
      <c r="E199" s="16" t="n">
        <f aca="false">IF(AND(A199&gt;12,MOD(A199,12)=Předpoklady!$B$8),Předpoklady!$B$12,0)</f>
        <v>0</v>
      </c>
      <c r="F199" s="16" t="n">
        <f aca="false">F198+E199</f>
        <v>115200</v>
      </c>
      <c r="G199" s="16" t="n">
        <f aca="false">G198*(1+Předpoklady!$B$10)+E199</f>
        <v>203071.041596572</v>
      </c>
    </row>
    <row r="200" customFormat="false" ht="15" hidden="false" customHeight="false" outlineLevel="0" collapsed="false">
      <c r="A200" s="15" t="n">
        <v>199</v>
      </c>
      <c r="B200" s="15" t="n">
        <f aca="false">ROUNDUP(A200/12,0)</f>
        <v>17</v>
      </c>
      <c r="C200" s="14" t="n">
        <f aca="false">Předpoklady!$B$4</f>
        <v>4000</v>
      </c>
      <c r="D200" s="16" t="n">
        <f aca="false">(D199+C200)*(1+Předpoklady!$B$10)</f>
        <v>1473409.58983937</v>
      </c>
      <c r="E200" s="16" t="n">
        <f aca="false">IF(AND(A200&gt;12,MOD(A200,12)=Předpoklady!$B$8),Předpoklady!$B$12,0)</f>
        <v>0</v>
      </c>
      <c r="F200" s="16" t="n">
        <f aca="false">F199+E200</f>
        <v>115200</v>
      </c>
      <c r="G200" s="16" t="n">
        <f aca="false">G199*(1+Předpoklady!$B$10)+E200</f>
        <v>204219.234789731</v>
      </c>
    </row>
    <row r="201" customFormat="false" ht="15" hidden="false" customHeight="false" outlineLevel="0" collapsed="false">
      <c r="A201" s="15" t="n">
        <v>200</v>
      </c>
      <c r="B201" s="15" t="n">
        <f aca="false">ROUNDUP(A201/12,0)</f>
        <v>17</v>
      </c>
      <c r="C201" s="14" t="n">
        <f aca="false">Předpoklady!$B$4</f>
        <v>4000</v>
      </c>
      <c r="D201" s="16" t="n">
        <f aca="false">(D200+C201)*(1+Předpoklady!$B$10)</f>
        <v>1485763.07845707</v>
      </c>
      <c r="E201" s="16" t="n">
        <f aca="false">IF(AND(A201&gt;12,MOD(A201,12)=Předpoklady!$B$8),Předpoklady!$B$12,0)</f>
        <v>0</v>
      </c>
      <c r="F201" s="16" t="n">
        <f aca="false">F200+E201</f>
        <v>115200</v>
      </c>
      <c r="G201" s="16" t="n">
        <f aca="false">G200*(1+Předpoklady!$B$10)+E201</f>
        <v>205373.920034137</v>
      </c>
    </row>
    <row r="202" customFormat="false" ht="15" hidden="false" customHeight="false" outlineLevel="0" collapsed="false">
      <c r="A202" s="15" t="n">
        <v>201</v>
      </c>
      <c r="B202" s="15" t="n">
        <f aca="false">ROUNDUP(A202/12,0)</f>
        <v>17</v>
      </c>
      <c r="C202" s="14" t="n">
        <f aca="false">Předpoklady!$B$4</f>
        <v>4000</v>
      </c>
      <c r="D202" s="16" t="n">
        <f aca="false">(D201+C202)*(1+Předpoklady!$B$10)</f>
        <v>1498186.41549546</v>
      </c>
      <c r="E202" s="16" t="n">
        <f aca="false">IF(AND(A202&gt;12,MOD(A202,12)=Předpoklady!$B$8),Předpoklady!$B$12,0)</f>
        <v>0</v>
      </c>
      <c r="F202" s="16" t="n">
        <f aca="false">F201+E202</f>
        <v>115200</v>
      </c>
      <c r="G202" s="16" t="n">
        <f aca="false">G201*(1+Předpoklady!$B$10)+E202</f>
        <v>206535.134036791</v>
      </c>
    </row>
    <row r="203" customFormat="false" ht="15" hidden="false" customHeight="false" outlineLevel="0" collapsed="false">
      <c r="A203" s="15" t="n">
        <v>202</v>
      </c>
      <c r="B203" s="15" t="n">
        <f aca="false">ROUNDUP(A203/12,0)</f>
        <v>17</v>
      </c>
      <c r="C203" s="14" t="n">
        <f aca="false">Předpoklady!$B$4</f>
        <v>4000</v>
      </c>
      <c r="D203" s="16" t="n">
        <f aca="false">(D202+C203)*(1+Předpoklady!$B$10)</f>
        <v>1510679.99588765</v>
      </c>
      <c r="E203" s="16" t="n">
        <f aca="false">IF(AND(A203&gt;12,MOD(A203,12)=Předpoklady!$B$8),Předpoklady!$B$12,0)</f>
        <v>0</v>
      </c>
      <c r="F203" s="16" t="n">
        <f aca="false">F202+E203</f>
        <v>115200</v>
      </c>
      <c r="G203" s="16" t="n">
        <f aca="false">G202*(1+Předpoklady!$B$10)+E203</f>
        <v>207702.913712242</v>
      </c>
    </row>
    <row r="204" customFormat="false" ht="15" hidden="false" customHeight="false" outlineLevel="0" collapsed="false">
      <c r="A204" s="15" t="n">
        <v>203</v>
      </c>
      <c r="B204" s="15" t="n">
        <f aca="false">ROUNDUP(A204/12,0)</f>
        <v>17</v>
      </c>
      <c r="C204" s="14" t="n">
        <f aca="false">Předpoklady!$B$4</f>
        <v>4000</v>
      </c>
      <c r="D204" s="16" t="n">
        <f aca="false">(D203+C204)*(1+Předpoklady!$B$10)</f>
        <v>1523244.21679979</v>
      </c>
      <c r="E204" s="16" t="n">
        <f aca="false">IF(AND(A204&gt;12,MOD(A204,12)=Předpoklady!$B$8),Předpoklady!$B$12,0)</f>
        <v>0</v>
      </c>
      <c r="F204" s="16" t="n">
        <f aca="false">F203+E204</f>
        <v>115200</v>
      </c>
      <c r="G204" s="16" t="n">
        <f aca="false">G203*(1+Předpoklady!$B$10)+E204</f>
        <v>208877.296183759</v>
      </c>
    </row>
    <row r="205" customFormat="false" ht="15" hidden="false" customHeight="false" outlineLevel="0" collapsed="false">
      <c r="A205" s="15" t="n">
        <v>204</v>
      </c>
      <c r="B205" s="15" t="n">
        <f aca="false">ROUNDUP(A205/12,0)</f>
        <v>17</v>
      </c>
      <c r="C205" s="14" t="n">
        <f aca="false">Předpoklady!$B$4</f>
        <v>4000</v>
      </c>
      <c r="D205" s="16" t="n">
        <f aca="false">(D204+C205)*(1+Předpoklady!$B$10)</f>
        <v>1535879.47764365</v>
      </c>
      <c r="E205" s="16" t="n">
        <f aca="false">IF(AND(A205&gt;12,MOD(A205,12)=Předpoklady!$B$8),Předpoklady!$B$12,0)</f>
        <v>0</v>
      </c>
      <c r="F205" s="16" t="n">
        <f aca="false">F204+E205</f>
        <v>115200</v>
      </c>
      <c r="G205" s="16" t="n">
        <f aca="false">G204*(1+Předpoklady!$B$10)+E205</f>
        <v>210058.31878451</v>
      </c>
    </row>
    <row r="206" customFormat="false" ht="15" hidden="false" customHeight="false" outlineLevel="0" collapsed="false">
      <c r="A206" s="15" t="n">
        <v>205</v>
      </c>
      <c r="B206" s="15" t="n">
        <f aca="false">ROUNDUP(A206/12,0)</f>
        <v>18</v>
      </c>
      <c r="C206" s="14" t="n">
        <f aca="false">Předpoklady!$B$4</f>
        <v>4000</v>
      </c>
      <c r="D206" s="16" t="n">
        <f aca="false">(D205+C206)*(1+Předpoklady!$B$10)</f>
        <v>1548586.18008933</v>
      </c>
      <c r="E206" s="16" t="n">
        <f aca="false">IF(AND(A206&gt;12,MOD(A206,12)=Předpoklady!$B$8),Předpoklady!$B$12,0)</f>
        <v>0</v>
      </c>
      <c r="F206" s="16" t="n">
        <f aca="false">F205+E206</f>
        <v>115200</v>
      </c>
      <c r="G206" s="16" t="n">
        <f aca="false">G205*(1+Předpoklady!$B$10)+E206</f>
        <v>211246.019058752</v>
      </c>
    </row>
    <row r="207" customFormat="false" ht="15" hidden="false" customHeight="false" outlineLevel="0" collapsed="false">
      <c r="A207" s="15" t="n">
        <v>206</v>
      </c>
      <c r="B207" s="15" t="n">
        <f aca="false">ROUNDUP(A207/12,0)</f>
        <v>18</v>
      </c>
      <c r="C207" s="14" t="n">
        <f aca="false">Předpoklady!$B$4</f>
        <v>4000</v>
      </c>
      <c r="D207" s="16" t="n">
        <f aca="false">(D206+C207)*(1+Předpoklady!$B$10)</f>
        <v>1561364.72807804</v>
      </c>
      <c r="E207" s="16" t="n">
        <f aca="false">IF(AND(A207&gt;12,MOD(A207,12)=Předpoklady!$B$8),Předpoklady!$B$12,0)</f>
        <v>0</v>
      </c>
      <c r="F207" s="16" t="n">
        <f aca="false">F206+E207</f>
        <v>115200</v>
      </c>
      <c r="G207" s="16" t="n">
        <f aca="false">G206*(1+Předpoklady!$B$10)+E207</f>
        <v>212440.43476302</v>
      </c>
    </row>
    <row r="208" customFormat="false" ht="15" hidden="false" customHeight="false" outlineLevel="0" collapsed="false">
      <c r="A208" s="15" t="n">
        <v>207</v>
      </c>
      <c r="B208" s="15" t="n">
        <f aca="false">ROUNDUP(A208/12,0)</f>
        <v>18</v>
      </c>
      <c r="C208" s="14" t="n">
        <f aca="false">Předpoklady!$B$4</f>
        <v>4000</v>
      </c>
      <c r="D208" s="16" t="n">
        <f aca="false">(D207+C208)*(1+Předpoklady!$B$10)</f>
        <v>1574215.5278349</v>
      </c>
      <c r="E208" s="16" t="n">
        <f aca="false">IF(AND(A208&gt;12,MOD(A208,12)=Předpoklady!$B$8),Předpoklady!$B$12,0)</f>
        <v>0</v>
      </c>
      <c r="F208" s="16" t="n">
        <f aca="false">F207+E208</f>
        <v>115200</v>
      </c>
      <c r="G208" s="16" t="n">
        <f aca="false">G207*(1+Předpoklady!$B$10)+E208</f>
        <v>213641.603867334</v>
      </c>
    </row>
    <row r="209" customFormat="false" ht="15" hidden="false" customHeight="false" outlineLevel="0" collapsed="false">
      <c r="A209" s="15" t="n">
        <v>208</v>
      </c>
      <c r="B209" s="15" t="n">
        <f aca="false">ROUNDUP(A209/12,0)</f>
        <v>18</v>
      </c>
      <c r="C209" s="14" t="n">
        <f aca="false">Předpoklady!$B$4</f>
        <v>4000</v>
      </c>
      <c r="D209" s="16" t="n">
        <f aca="false">(D208+C209)*(1+Předpoklady!$B$10)</f>
        <v>1587138.98788194</v>
      </c>
      <c r="E209" s="16" t="n">
        <f aca="false">IF(AND(A209&gt;12,MOD(A209,12)=Předpoklady!$B$8),Předpoklady!$B$12,0)</f>
        <v>7200</v>
      </c>
      <c r="F209" s="16" t="n">
        <f aca="false">F208+E209</f>
        <v>122400</v>
      </c>
      <c r="G209" s="16" t="n">
        <f aca="false">G208*(1+Předpoklady!$B$10)+E209</f>
        <v>222049.564556398</v>
      </c>
    </row>
    <row r="210" customFormat="false" ht="15" hidden="false" customHeight="false" outlineLevel="0" collapsed="false">
      <c r="A210" s="15" t="n">
        <v>209</v>
      </c>
      <c r="B210" s="15" t="n">
        <f aca="false">ROUNDUP(A210/12,0)</f>
        <v>18</v>
      </c>
      <c r="C210" s="14" t="n">
        <f aca="false">Předpoklady!$B$4</f>
        <v>4000</v>
      </c>
      <c r="D210" s="16" t="n">
        <f aca="false">(D209+C210)*(1+Předpoklady!$B$10)</f>
        <v>1600135.519051</v>
      </c>
      <c r="E210" s="16" t="n">
        <f aca="false">IF(AND(A210&gt;12,MOD(A210,12)=Předpoklady!$B$8),Předpoklady!$B$12,0)</f>
        <v>0</v>
      </c>
      <c r="F210" s="16" t="n">
        <f aca="false">F209+E210</f>
        <v>122400</v>
      </c>
      <c r="G210" s="16" t="n">
        <f aca="false">G209*(1+Předpoklady!$B$10)+E210</f>
        <v>223305.06507761</v>
      </c>
    </row>
    <row r="211" customFormat="false" ht="15" hidden="false" customHeight="false" outlineLevel="0" collapsed="false">
      <c r="A211" s="15" t="n">
        <v>210</v>
      </c>
      <c r="B211" s="15" t="n">
        <f aca="false">ROUNDUP(A211/12,0)</f>
        <v>18</v>
      </c>
      <c r="C211" s="14" t="n">
        <f aca="false">Předpoklady!$B$4</f>
        <v>4000</v>
      </c>
      <c r="D211" s="16" t="n">
        <f aca="false">(D210+C211)*(1+Předpoklady!$B$10)</f>
        <v>1613205.53449681</v>
      </c>
      <c r="E211" s="16" t="n">
        <f aca="false">IF(AND(A211&gt;12,MOD(A211,12)=Předpoklady!$B$8),Předpoklady!$B$12,0)</f>
        <v>0</v>
      </c>
      <c r="F211" s="16" t="n">
        <f aca="false">F210+E211</f>
        <v>122400</v>
      </c>
      <c r="G211" s="16" t="n">
        <f aca="false">G210*(1+Předpoklady!$B$10)+E211</f>
        <v>224567.664381303</v>
      </c>
    </row>
    <row r="212" customFormat="false" ht="15" hidden="false" customHeight="false" outlineLevel="0" collapsed="false">
      <c r="A212" s="15" t="n">
        <v>211</v>
      </c>
      <c r="B212" s="15" t="n">
        <f aca="false">ROUNDUP(A212/12,0)</f>
        <v>18</v>
      </c>
      <c r="C212" s="14" t="n">
        <f aca="false">Předpoklady!$B$4</f>
        <v>4000</v>
      </c>
      <c r="D212" s="16" t="n">
        <f aca="false">(D211+C212)*(1+Předpoklady!$B$10)</f>
        <v>1626349.44971017</v>
      </c>
      <c r="E212" s="16" t="n">
        <f aca="false">IF(AND(A212&gt;12,MOD(A212,12)=Předpoklady!$B$8),Předpoklady!$B$12,0)</f>
        <v>0</v>
      </c>
      <c r="F212" s="16" t="n">
        <f aca="false">F211+E212</f>
        <v>122400</v>
      </c>
      <c r="G212" s="16" t="n">
        <f aca="false">G211*(1+Předpoklady!$B$10)+E212</f>
        <v>225837.402605025</v>
      </c>
    </row>
    <row r="213" customFormat="false" ht="15" hidden="false" customHeight="false" outlineLevel="0" collapsed="false">
      <c r="A213" s="15" t="n">
        <v>212</v>
      </c>
      <c r="B213" s="15" t="n">
        <f aca="false">ROUNDUP(A213/12,0)</f>
        <v>18</v>
      </c>
      <c r="C213" s="14" t="n">
        <f aca="false">Předpoklady!$B$4</f>
        <v>4000</v>
      </c>
      <c r="D213" s="16" t="n">
        <f aca="false">(D212+C213)*(1+Předpoklady!$B$10)</f>
        <v>1639567.68253111</v>
      </c>
      <c r="E213" s="16" t="n">
        <f aca="false">IF(AND(A213&gt;12,MOD(A213,12)=Předpoklady!$B$8),Předpoklady!$B$12,0)</f>
        <v>0</v>
      </c>
      <c r="F213" s="16" t="n">
        <f aca="false">F212+E213</f>
        <v>122400</v>
      </c>
      <c r="G213" s="16" t="n">
        <f aca="false">G212*(1+Předpoklady!$B$10)+E213</f>
        <v>227114.320113268</v>
      </c>
    </row>
    <row r="214" customFormat="false" ht="15" hidden="false" customHeight="false" outlineLevel="0" collapsed="false">
      <c r="A214" s="15" t="n">
        <v>213</v>
      </c>
      <c r="B214" s="15" t="n">
        <f aca="false">ROUNDUP(A214/12,0)</f>
        <v>18</v>
      </c>
      <c r="C214" s="14" t="n">
        <f aca="false">Předpoklady!$B$4</f>
        <v>4000</v>
      </c>
      <c r="D214" s="16" t="n">
        <f aca="false">(D213+C214)*(1+Předpoklady!$B$10)</f>
        <v>1652860.65316218</v>
      </c>
      <c r="E214" s="16" t="n">
        <f aca="false">IF(AND(A214&gt;12,MOD(A214,12)=Předpoklady!$B$8),Předpoklady!$B$12,0)</f>
        <v>0</v>
      </c>
      <c r="F214" s="16" t="n">
        <f aca="false">F213+E214</f>
        <v>122400</v>
      </c>
      <c r="G214" s="16" t="n">
        <f aca="false">G213*(1+Předpoklady!$B$10)+E214</f>
        <v>228398.45749875</v>
      </c>
    </row>
    <row r="215" customFormat="false" ht="15" hidden="false" customHeight="false" outlineLevel="0" collapsed="false">
      <c r="A215" s="15" t="n">
        <v>214</v>
      </c>
      <c r="B215" s="15" t="n">
        <f aca="false">ROUNDUP(A215/12,0)</f>
        <v>18</v>
      </c>
      <c r="C215" s="14" t="n">
        <f aca="false">Předpoklady!$B$4</f>
        <v>4000</v>
      </c>
      <c r="D215" s="16" t="n">
        <f aca="false">(D214+C215)*(1+Předpoklady!$B$10)</f>
        <v>1666228.78418183</v>
      </c>
      <c r="E215" s="16" t="n">
        <f aca="false">IF(AND(A215&gt;12,MOD(A215,12)=Předpoklady!$B$8),Předpoklady!$B$12,0)</f>
        <v>0</v>
      </c>
      <c r="F215" s="16" t="n">
        <f aca="false">F214+E215</f>
        <v>122400</v>
      </c>
      <c r="G215" s="16" t="n">
        <f aca="false">G214*(1+Předpoklady!$B$10)+E215</f>
        <v>229689.855583707</v>
      </c>
    </row>
    <row r="216" customFormat="false" ht="15" hidden="false" customHeight="false" outlineLevel="0" collapsed="false">
      <c r="A216" s="15" t="n">
        <v>215</v>
      </c>
      <c r="B216" s="15" t="n">
        <f aca="false">ROUNDUP(A216/12,0)</f>
        <v>18</v>
      </c>
      <c r="C216" s="14" t="n">
        <f aca="false">Předpoklady!$B$4</f>
        <v>4000</v>
      </c>
      <c r="D216" s="16" t="n">
        <f aca="false">(D215+C216)*(1+Předpoklady!$B$10)</f>
        <v>1679672.50055783</v>
      </c>
      <c r="E216" s="16" t="n">
        <f aca="false">IF(AND(A216&gt;12,MOD(A216,12)=Předpoklady!$B$8),Předpoklady!$B$12,0)</f>
        <v>0</v>
      </c>
      <c r="F216" s="16" t="n">
        <f aca="false">F215+E216</f>
        <v>122400</v>
      </c>
      <c r="G216" s="16" t="n">
        <f aca="false">G215*(1+Předpoklady!$B$10)+E216</f>
        <v>230988.555421189</v>
      </c>
    </row>
    <row r="217" customFormat="false" ht="15" hidden="false" customHeight="false" outlineLevel="0" collapsed="false">
      <c r="A217" s="15" t="n">
        <v>216</v>
      </c>
      <c r="B217" s="15" t="n">
        <f aca="false">ROUNDUP(A217/12,0)</f>
        <v>18</v>
      </c>
      <c r="C217" s="14" t="n">
        <f aca="false">Předpoklady!$B$4</f>
        <v>4000</v>
      </c>
      <c r="D217" s="16" t="n">
        <f aca="false">(D216+C217)*(1+Předpoklady!$B$10)</f>
        <v>1693192.22966076</v>
      </c>
      <c r="E217" s="16" t="n">
        <f aca="false">IF(AND(A217&gt;12,MOD(A217,12)=Předpoklady!$B$8),Předpoklady!$B$12,0)</f>
        <v>0</v>
      </c>
      <c r="F217" s="16" t="n">
        <f aca="false">F216+E217</f>
        <v>122400</v>
      </c>
      <c r="G217" s="16" t="n">
        <f aca="false">G216*(1+Předpoklady!$B$10)+E217</f>
        <v>232294.598296368</v>
      </c>
    </row>
    <row r="218" customFormat="false" ht="15" hidden="false" customHeight="false" outlineLevel="0" collapsed="false">
      <c r="A218" s="15" t="n">
        <v>217</v>
      </c>
      <c r="B218" s="15" t="n">
        <f aca="false">ROUNDUP(A218/12,0)</f>
        <v>19</v>
      </c>
      <c r="C218" s="14" t="n">
        <f aca="false">Předpoklady!$B$4</f>
        <v>4000</v>
      </c>
      <c r="D218" s="16" t="n">
        <f aca="false">(D217+C218)*(1+Předpoklady!$B$10)</f>
        <v>1706788.40127763</v>
      </c>
      <c r="E218" s="16" t="n">
        <f aca="false">IF(AND(A218&gt;12,MOD(A218,12)=Předpoklady!$B$8),Předpoklady!$B$12,0)</f>
        <v>0</v>
      </c>
      <c r="F218" s="16" t="n">
        <f aca="false">F217+E218</f>
        <v>122400</v>
      </c>
      <c r="G218" s="16" t="n">
        <f aca="false">G217*(1+Předpoklady!$B$10)+E218</f>
        <v>233608.025727844</v>
      </c>
    </row>
    <row r="219" customFormat="false" ht="15" hidden="false" customHeight="false" outlineLevel="0" collapsed="false">
      <c r="A219" s="15" t="n">
        <v>218</v>
      </c>
      <c r="B219" s="15" t="n">
        <f aca="false">ROUNDUP(A219/12,0)</f>
        <v>19</v>
      </c>
      <c r="C219" s="14" t="n">
        <f aca="false">Předpoklady!$B$4</f>
        <v>4000</v>
      </c>
      <c r="D219" s="16" t="n">
        <f aca="false">(D218+C219)*(1+Předpoklady!$B$10)</f>
        <v>1720461.44762554</v>
      </c>
      <c r="E219" s="16" t="n">
        <f aca="false">IF(AND(A219&gt;12,MOD(A219,12)=Předpoklady!$B$8),Předpoklady!$B$12,0)</f>
        <v>0</v>
      </c>
      <c r="F219" s="16" t="n">
        <f aca="false">F218+E219</f>
        <v>122400</v>
      </c>
      <c r="G219" s="16" t="n">
        <f aca="false">G218*(1+Předpoklady!$B$10)+E219</f>
        <v>234928.879468974</v>
      </c>
    </row>
    <row r="220" customFormat="false" ht="15" hidden="false" customHeight="false" outlineLevel="0" collapsed="false">
      <c r="A220" s="15" t="n">
        <v>219</v>
      </c>
      <c r="B220" s="15" t="n">
        <f aca="false">ROUNDUP(A220/12,0)</f>
        <v>19</v>
      </c>
      <c r="C220" s="14" t="n">
        <f aca="false">Předpoklady!$B$4</f>
        <v>4000</v>
      </c>
      <c r="D220" s="16" t="n">
        <f aca="false">(D219+C220)*(1+Předpoklady!$B$10)</f>
        <v>1734211.80336539</v>
      </c>
      <c r="E220" s="16" t="n">
        <f aca="false">IF(AND(A220&gt;12,MOD(A220,12)=Předpoklady!$B$8),Předpoklady!$B$12,0)</f>
        <v>0</v>
      </c>
      <c r="F220" s="16" t="n">
        <f aca="false">F219+E220</f>
        <v>122400</v>
      </c>
      <c r="G220" s="16" t="n">
        <f aca="false">G219*(1+Předpoklady!$B$10)+E220</f>
        <v>236257.201509192</v>
      </c>
    </row>
    <row r="221" customFormat="false" ht="15" hidden="false" customHeight="false" outlineLevel="0" collapsed="false">
      <c r="A221" s="15" t="n">
        <v>220</v>
      </c>
      <c r="B221" s="15" t="n">
        <f aca="false">ROUNDUP(A221/12,0)</f>
        <v>19</v>
      </c>
      <c r="C221" s="14" t="n">
        <f aca="false">Předpoklady!$B$4</f>
        <v>4000</v>
      </c>
      <c r="D221" s="16" t="n">
        <f aca="false">(D220+C221)*(1+Předpoklady!$B$10)</f>
        <v>1748039.90561572</v>
      </c>
      <c r="E221" s="16" t="n">
        <f aca="false">IF(AND(A221&gt;12,MOD(A221,12)=Předpoklady!$B$8),Předpoklady!$B$12,0)</f>
        <v>7200</v>
      </c>
      <c r="F221" s="16" t="n">
        <f aca="false">F220+E221</f>
        <v>129600</v>
      </c>
      <c r="G221" s="16" t="n">
        <f aca="false">G220*(1+Předpoklady!$B$10)+E221</f>
        <v>244793.034075346</v>
      </c>
    </row>
    <row r="222" customFormat="false" ht="15" hidden="false" customHeight="false" outlineLevel="0" collapsed="false">
      <c r="A222" s="15" t="n">
        <v>221</v>
      </c>
      <c r="B222" s="15" t="n">
        <f aca="false">ROUNDUP(A222/12,0)</f>
        <v>19</v>
      </c>
      <c r="C222" s="14" t="n">
        <f aca="false">Předpoklady!$B$4</f>
        <v>4000</v>
      </c>
      <c r="D222" s="16" t="n">
        <f aca="false">(D221+C222)*(1+Předpoklady!$B$10)</f>
        <v>1761946.19396661</v>
      </c>
      <c r="E222" s="16" t="n">
        <f aca="false">IF(AND(A222&gt;12,MOD(A222,12)=Předpoklady!$B$8),Předpoklady!$B$12,0)</f>
        <v>0</v>
      </c>
      <c r="F222" s="16" t="n">
        <f aca="false">F221+E222</f>
        <v>129600</v>
      </c>
      <c r="G222" s="16" t="n">
        <f aca="false">G221*(1+Předpoklady!$B$10)+E222</f>
        <v>246177.129479832</v>
      </c>
    </row>
    <row r="223" customFormat="false" ht="15" hidden="false" customHeight="false" outlineLevel="0" collapsed="false">
      <c r="A223" s="15" t="n">
        <v>222</v>
      </c>
      <c r="B223" s="15" t="n">
        <f aca="false">ROUNDUP(A223/12,0)</f>
        <v>19</v>
      </c>
      <c r="C223" s="14" t="n">
        <f aca="false">Předpoklady!$B$4</f>
        <v>4000</v>
      </c>
      <c r="D223" s="16" t="n">
        <f aca="false">(D222+C223)*(1+Předpoklady!$B$10)</f>
        <v>1775931.11049363</v>
      </c>
      <c r="E223" s="16" t="n">
        <f aca="false">IF(AND(A223&gt;12,MOD(A223,12)=Předpoklady!$B$8),Předpoklady!$B$12,0)</f>
        <v>0</v>
      </c>
      <c r="F223" s="16" t="n">
        <f aca="false">F222+E223</f>
        <v>129600</v>
      </c>
      <c r="G223" s="16" t="n">
        <f aca="false">G222*(1+Předpoklady!$B$10)+E223</f>
        <v>247569.050760965</v>
      </c>
    </row>
    <row r="224" customFormat="false" ht="15" hidden="false" customHeight="false" outlineLevel="0" collapsed="false">
      <c r="A224" s="15" t="n">
        <v>223</v>
      </c>
      <c r="B224" s="15" t="n">
        <f aca="false">ROUNDUP(A224/12,0)</f>
        <v>19</v>
      </c>
      <c r="C224" s="14" t="n">
        <f aca="false">Předpoklady!$B$4</f>
        <v>4000</v>
      </c>
      <c r="D224" s="16" t="n">
        <f aca="false">(D223+C224)*(1+Předpoklady!$B$10)</f>
        <v>1789995.09977193</v>
      </c>
      <c r="E224" s="16" t="n">
        <f aca="false">IF(AND(A224&gt;12,MOD(A224,12)=Předpoklady!$B$8),Předpoklady!$B$12,0)</f>
        <v>0</v>
      </c>
      <c r="F224" s="16" t="n">
        <f aca="false">F223+E224</f>
        <v>129600</v>
      </c>
      <c r="G224" s="16" t="n">
        <f aca="false">G223*(1+Předpoklady!$B$10)+E224</f>
        <v>248968.84216739</v>
      </c>
    </row>
    <row r="225" customFormat="false" ht="15" hidden="false" customHeight="false" outlineLevel="0" collapsed="false">
      <c r="A225" s="15" t="n">
        <v>224</v>
      </c>
      <c r="B225" s="15" t="n">
        <f aca="false">ROUNDUP(A225/12,0)</f>
        <v>19</v>
      </c>
      <c r="C225" s="14" t="n">
        <f aca="false">Předpoklady!$B$4</f>
        <v>4000</v>
      </c>
      <c r="D225" s="16" t="n">
        <f aca="false">(D224+C225)*(1+Předpoklady!$B$10)</f>
        <v>1804138.60889033</v>
      </c>
      <c r="E225" s="16" t="n">
        <f aca="false">IF(AND(A225&gt;12,MOD(A225,12)=Předpoklady!$B$8),Předpoklady!$B$12,0)</f>
        <v>0</v>
      </c>
      <c r="F225" s="16" t="n">
        <f aca="false">F224+E225</f>
        <v>129600</v>
      </c>
      <c r="G225" s="16" t="n">
        <f aca="false">G224*(1+Předpoklady!$B$10)+E225</f>
        <v>250376.548197938</v>
      </c>
    </row>
    <row r="226" customFormat="false" ht="15" hidden="false" customHeight="false" outlineLevel="0" collapsed="false">
      <c r="A226" s="15" t="n">
        <v>225</v>
      </c>
      <c r="B226" s="15" t="n">
        <f aca="false">ROUNDUP(A226/12,0)</f>
        <v>19</v>
      </c>
      <c r="C226" s="14" t="n">
        <f aca="false">Předpoklady!$B$4</f>
        <v>4000</v>
      </c>
      <c r="D226" s="16" t="n">
        <f aca="false">(D225+C226)*(1+Předpoklady!$B$10)</f>
        <v>1818362.08746558</v>
      </c>
      <c r="E226" s="16" t="n">
        <f aca="false">IF(AND(A226&gt;12,MOD(A226,12)=Předpoklady!$B$8),Předpoklady!$B$12,0)</f>
        <v>0</v>
      </c>
      <c r="F226" s="16" t="n">
        <f aca="false">F225+E226</f>
        <v>129600</v>
      </c>
      <c r="G226" s="16" t="n">
        <f aca="false">G225*(1+Předpoklady!$B$10)+E226</f>
        <v>251792.213603046</v>
      </c>
    </row>
    <row r="227" customFormat="false" ht="15" hidden="false" customHeight="false" outlineLevel="0" collapsed="false">
      <c r="A227" s="15" t="n">
        <v>226</v>
      </c>
      <c r="B227" s="15" t="n">
        <f aca="false">ROUNDUP(A227/12,0)</f>
        <v>19</v>
      </c>
      <c r="C227" s="14" t="n">
        <f aca="false">Předpoklady!$B$4</f>
        <v>4000</v>
      </c>
      <c r="D227" s="16" t="n">
        <f aca="false">(D226+C227)*(1+Předpoklady!$B$10)</f>
        <v>1832665.98765661</v>
      </c>
      <c r="E227" s="16" t="n">
        <f aca="false">IF(AND(A227&gt;12,MOD(A227,12)=Předpoklady!$B$8),Předpoklady!$B$12,0)</f>
        <v>0</v>
      </c>
      <c r="F227" s="16" t="n">
        <f aca="false">F226+E227</f>
        <v>129600</v>
      </c>
      <c r="G227" s="16" t="n">
        <f aca="false">G226*(1+Předpoklady!$B$10)+E227</f>
        <v>253215.883386174</v>
      </c>
    </row>
    <row r="228" customFormat="false" ht="15" hidden="false" customHeight="false" outlineLevel="0" collapsed="false">
      <c r="A228" s="15" t="n">
        <v>227</v>
      </c>
      <c r="B228" s="15" t="n">
        <f aca="false">ROUNDUP(A228/12,0)</f>
        <v>19</v>
      </c>
      <c r="C228" s="14" t="n">
        <f aca="false">Předpoklady!$B$4</f>
        <v>4000</v>
      </c>
      <c r="D228" s="16" t="n">
        <f aca="false">(D227+C228)*(1+Předpoklady!$B$10)</f>
        <v>1847050.76417892</v>
      </c>
      <c r="E228" s="16" t="n">
        <f aca="false">IF(AND(A228&gt;12,MOD(A228,12)=Předpoklady!$B$8),Předpoklady!$B$12,0)</f>
        <v>0</v>
      </c>
      <c r="F228" s="16" t="n">
        <f aca="false">F227+E228</f>
        <v>129600</v>
      </c>
      <c r="G228" s="16" t="n">
        <f aca="false">G227*(1+Předpoklady!$B$10)+E228</f>
        <v>254647.60280524</v>
      </c>
    </row>
    <row r="229" customFormat="false" ht="15" hidden="false" customHeight="false" outlineLevel="0" collapsed="false">
      <c r="A229" s="15" t="n">
        <v>228</v>
      </c>
      <c r="B229" s="15" t="n">
        <f aca="false">ROUNDUP(A229/12,0)</f>
        <v>19</v>
      </c>
      <c r="C229" s="14" t="n">
        <f aca="false">Předpoklady!$B$4</f>
        <v>4000</v>
      </c>
      <c r="D229" s="16" t="n">
        <f aca="false">(D228+C229)*(1+Předpoklady!$B$10)</f>
        <v>1861516.87431905</v>
      </c>
      <c r="E229" s="16" t="n">
        <f aca="false">IF(AND(A229&gt;12,MOD(A229,12)=Předpoklady!$B$8),Předpoklady!$B$12,0)</f>
        <v>0</v>
      </c>
      <c r="F229" s="16" t="n">
        <f aca="false">F228+E229</f>
        <v>129600</v>
      </c>
      <c r="G229" s="16" t="n">
        <f aca="false">G228*(1+Předpoklady!$B$10)+E229</f>
        <v>256087.417374055</v>
      </c>
    </row>
    <row r="230" customFormat="false" ht="15" hidden="false" customHeight="false" outlineLevel="0" collapsed="false">
      <c r="A230" s="15" t="n">
        <v>229</v>
      </c>
      <c r="B230" s="15" t="n">
        <f aca="false">ROUNDUP(A230/12,0)</f>
        <v>20</v>
      </c>
      <c r="C230" s="14" t="n">
        <f aca="false">Předpoklady!$B$4</f>
        <v>4000</v>
      </c>
      <c r="D230" s="16" t="n">
        <f aca="false">(D229+C230)*(1+Předpoklady!$B$10)</f>
        <v>1876064.77794911</v>
      </c>
      <c r="E230" s="16" t="n">
        <f aca="false">IF(AND(A230&gt;12,MOD(A230,12)=Předpoklady!$B$8),Předpoklady!$B$12,0)</f>
        <v>0</v>
      </c>
      <c r="F230" s="16" t="n">
        <f aca="false">F229+E230</f>
        <v>129600</v>
      </c>
      <c r="G230" s="16" t="n">
        <f aca="false">G229*(1+Předpoklady!$B$10)+E230</f>
        <v>257535.372863773</v>
      </c>
    </row>
    <row r="231" customFormat="false" ht="15" hidden="false" customHeight="false" outlineLevel="0" collapsed="false">
      <c r="A231" s="15" t="n">
        <v>230</v>
      </c>
      <c r="B231" s="15" t="n">
        <f aca="false">ROUNDUP(A231/12,0)</f>
        <v>20</v>
      </c>
      <c r="C231" s="14" t="n">
        <f aca="false">Předpoklady!$B$4</f>
        <v>4000</v>
      </c>
      <c r="D231" s="16" t="n">
        <f aca="false">(D230+C231)*(1+Předpoklady!$B$10)</f>
        <v>1890694.93754138</v>
      </c>
      <c r="E231" s="16" t="n">
        <f aca="false">IF(AND(A231&gt;12,MOD(A231,12)=Předpoklady!$B$8),Předpoklady!$B$12,0)</f>
        <v>0</v>
      </c>
      <c r="F231" s="16" t="n">
        <f aca="false">F230+E231</f>
        <v>129600</v>
      </c>
      <c r="G231" s="16" t="n">
        <f aca="false">G230*(1+Předpoklady!$B$10)+E231</f>
        <v>258991.515304344</v>
      </c>
    </row>
    <row r="232" customFormat="false" ht="15" hidden="false" customHeight="false" outlineLevel="0" collapsed="false">
      <c r="A232" s="15" t="n">
        <v>231</v>
      </c>
      <c r="B232" s="15" t="n">
        <f aca="false">ROUNDUP(A232/12,0)</f>
        <v>20</v>
      </c>
      <c r="C232" s="14" t="n">
        <f aca="false">Předpoklady!$B$4</f>
        <v>4000</v>
      </c>
      <c r="D232" s="16" t="n">
        <f aca="false">(D231+C232)*(1+Předpoklady!$B$10)</f>
        <v>1905407.81818302</v>
      </c>
      <c r="E232" s="16" t="n">
        <f aca="false">IF(AND(A232&gt;12,MOD(A232,12)=Předpoklady!$B$8),Předpoklady!$B$12,0)</f>
        <v>0</v>
      </c>
      <c r="F232" s="16" t="n">
        <f aca="false">F231+E232</f>
        <v>129600</v>
      </c>
      <c r="G232" s="16" t="n">
        <f aca="false">G231*(1+Předpoklady!$B$10)+E232</f>
        <v>260455.89098598</v>
      </c>
    </row>
    <row r="233" customFormat="false" ht="15" hidden="false" customHeight="false" outlineLevel="0" collapsed="false">
      <c r="A233" s="15" t="n">
        <v>232</v>
      </c>
      <c r="B233" s="15" t="n">
        <f aca="false">ROUNDUP(A233/12,0)</f>
        <v>20</v>
      </c>
      <c r="C233" s="14" t="n">
        <f aca="false">Předpoklady!$B$4</f>
        <v>4000</v>
      </c>
      <c r="D233" s="16" t="n">
        <f aca="false">(D232+C233)*(1+Předpoklady!$B$10)</f>
        <v>1920203.88759087</v>
      </c>
      <c r="E233" s="16" t="n">
        <f aca="false">IF(AND(A233&gt;12,MOD(A233,12)=Předpoklady!$B$8),Předpoklady!$B$12,0)</f>
        <v>7200</v>
      </c>
      <c r="F233" s="16" t="n">
        <f aca="false">F232+E233</f>
        <v>136800</v>
      </c>
      <c r="G233" s="16" t="n">
        <f aca="false">G232*(1+Předpoklady!$B$10)+E233</f>
        <v>269128.546460621</v>
      </c>
    </row>
    <row r="234" customFormat="false" ht="15" hidden="false" customHeight="false" outlineLevel="0" collapsed="false">
      <c r="A234" s="15" t="n">
        <v>233</v>
      </c>
      <c r="B234" s="15" t="n">
        <f aca="false">ROUNDUP(A234/12,0)</f>
        <v>20</v>
      </c>
      <c r="C234" s="14" t="n">
        <f aca="false">Předpoklady!$B$4</f>
        <v>4000</v>
      </c>
      <c r="D234" s="16" t="n">
        <f aca="false">(D233+C234)*(1+Předpoklady!$B$10)</f>
        <v>1935083.61612632</v>
      </c>
      <c r="E234" s="16" t="n">
        <f aca="false">IF(AND(A234&gt;12,MOD(A234,12)=Předpoklady!$B$8),Předpoklady!$B$12,0)</f>
        <v>0</v>
      </c>
      <c r="F234" s="16" t="n">
        <f aca="false">F233+E234</f>
        <v>136800</v>
      </c>
      <c r="G234" s="16" t="n">
        <f aca="false">G233*(1+Předpoklady!$B$10)+E234</f>
        <v>270650.23839021</v>
      </c>
    </row>
    <row r="235" customFormat="false" ht="15" hidden="false" customHeight="false" outlineLevel="0" collapsed="false">
      <c r="A235" s="15" t="n">
        <v>234</v>
      </c>
      <c r="B235" s="15" t="n">
        <f aca="false">ROUNDUP(A235/12,0)</f>
        <v>20</v>
      </c>
      <c r="C235" s="14" t="n">
        <f aca="false">Předpoklady!$B$4</f>
        <v>4000</v>
      </c>
      <c r="D235" s="16" t="n">
        <f aca="false">(D234+C235)*(1+Předpoklady!$B$10)</f>
        <v>1950047.47681023</v>
      </c>
      <c r="E235" s="16" t="n">
        <f aca="false">IF(AND(A235&gt;12,MOD(A235,12)=Předpoklady!$B$8),Předpoklady!$B$12,0)</f>
        <v>0</v>
      </c>
      <c r="F235" s="16" t="n">
        <f aca="false">F234+E235</f>
        <v>136800</v>
      </c>
      <c r="G235" s="16" t="n">
        <f aca="false">G234*(1+Předpoklady!$B$10)+E235</f>
        <v>272180.534187204</v>
      </c>
    </row>
    <row r="236" customFormat="false" ht="15" hidden="false" customHeight="false" outlineLevel="0" collapsed="false">
      <c r="A236" s="15" t="n">
        <v>235</v>
      </c>
      <c r="B236" s="15" t="n">
        <f aca="false">ROUNDUP(A236/12,0)</f>
        <v>20</v>
      </c>
      <c r="C236" s="14" t="n">
        <f aca="false">Předpoklady!$B$4</f>
        <v>4000</v>
      </c>
      <c r="D236" s="16" t="n">
        <f aca="false">(D235+C236)*(1+Předpoklady!$B$10)</f>
        <v>1965095.94533801</v>
      </c>
      <c r="E236" s="16" t="n">
        <f aca="false">IF(AND(A236&gt;12,MOD(A236,12)=Předpoklady!$B$8),Předpoklady!$B$12,0)</f>
        <v>0</v>
      </c>
      <c r="F236" s="16" t="n">
        <f aca="false">F235+E236</f>
        <v>136800</v>
      </c>
      <c r="G236" s="16" t="n">
        <f aca="false">G235*(1+Předpoklady!$B$10)+E236</f>
        <v>273719.48249912</v>
      </c>
    </row>
    <row r="237" customFormat="false" ht="15" hidden="false" customHeight="false" outlineLevel="0" collapsed="false">
      <c r="A237" s="15" t="n">
        <v>236</v>
      </c>
      <c r="B237" s="15" t="n">
        <f aca="false">ROUNDUP(A237/12,0)</f>
        <v>20</v>
      </c>
      <c r="C237" s="14" t="n">
        <f aca="false">Předpoklady!$B$4</f>
        <v>4000</v>
      </c>
      <c r="D237" s="16" t="n">
        <f aca="false">(D236+C237)*(1+Předpoklady!$B$10)</f>
        <v>1980229.5000947</v>
      </c>
      <c r="E237" s="16" t="n">
        <f aca="false">IF(AND(A237&gt;12,MOD(A237,12)=Předpoklady!$B$8),Předpoklady!$B$12,0)</f>
        <v>0</v>
      </c>
      <c r="F237" s="16" t="n">
        <f aca="false">F236+E237</f>
        <v>136800</v>
      </c>
      <c r="G237" s="16" t="n">
        <f aca="false">G236*(1+Předpoklady!$B$10)+E237</f>
        <v>275267.132248535</v>
      </c>
    </row>
    <row r="238" customFormat="false" ht="15" hidden="false" customHeight="false" outlineLevel="0" collapsed="false">
      <c r="A238" s="15" t="n">
        <v>237</v>
      </c>
      <c r="B238" s="15" t="n">
        <f aca="false">ROUNDUP(A238/12,0)</f>
        <v>20</v>
      </c>
      <c r="C238" s="14" t="n">
        <f aca="false">Předpoklady!$B$4</f>
        <v>4000</v>
      </c>
      <c r="D238" s="16" t="n">
        <f aca="false">(D237+C238)*(1+Předpoklady!$B$10)</f>
        <v>1995448.62217022</v>
      </c>
      <c r="E238" s="16" t="n">
        <f aca="false">IF(AND(A238&gt;12,MOD(A238,12)=Předpoklady!$B$8),Předpoklady!$B$12,0)</f>
        <v>0</v>
      </c>
      <c r="F238" s="16" t="n">
        <f aca="false">F237+E238</f>
        <v>136800</v>
      </c>
      <c r="G238" s="16" t="n">
        <f aca="false">G237*(1+Předpoklady!$B$10)+E238</f>
        <v>276823.532634643</v>
      </c>
    </row>
    <row r="239" customFormat="false" ht="15" hidden="false" customHeight="false" outlineLevel="0" collapsed="false">
      <c r="A239" s="15" t="n">
        <v>238</v>
      </c>
      <c r="B239" s="15" t="n">
        <f aca="false">ROUNDUP(A239/12,0)</f>
        <v>20</v>
      </c>
      <c r="C239" s="14" t="n">
        <f aca="false">Předpoklady!$B$4</f>
        <v>4000</v>
      </c>
      <c r="D239" s="16" t="n">
        <f aca="false">(D238+C239)*(1+Předpoklady!$B$10)</f>
        <v>2010753.79537461</v>
      </c>
      <c r="E239" s="16" t="n">
        <f aca="false">IF(AND(A239&gt;12,MOD(A239,12)=Předpoklady!$B$8),Předpoklady!$B$12,0)</f>
        <v>0</v>
      </c>
      <c r="F239" s="16" t="n">
        <f aca="false">F238+E239</f>
        <v>136800</v>
      </c>
      <c r="G239" s="16" t="n">
        <f aca="false">G238*(1+Předpoklady!$B$10)+E239</f>
        <v>278388.733134814</v>
      </c>
    </row>
    <row r="240" customFormat="false" ht="15" hidden="false" customHeight="false" outlineLevel="0" collapsed="false">
      <c r="A240" s="15" t="n">
        <v>239</v>
      </c>
      <c r="B240" s="15" t="n">
        <f aca="false">ROUNDUP(A240/12,0)</f>
        <v>20</v>
      </c>
      <c r="C240" s="14" t="n">
        <f aca="false">Předpoklady!$B$4</f>
        <v>4000</v>
      </c>
      <c r="D240" s="16" t="n">
        <f aca="false">(D239+C240)*(1+Předpoklady!$B$10)</f>
        <v>2026145.50625349</v>
      </c>
      <c r="E240" s="16" t="n">
        <f aca="false">IF(AND(A240&gt;12,MOD(A240,12)=Předpoklady!$B$8),Předpoklady!$B$12,0)</f>
        <v>0</v>
      </c>
      <c r="F240" s="16" t="n">
        <f aca="false">F239+E240</f>
        <v>136800</v>
      </c>
      <c r="G240" s="16" t="n">
        <f aca="false">G239*(1+Předpoklady!$B$10)+E240</f>
        <v>279962.783506174</v>
      </c>
    </row>
    <row r="241" customFormat="false" ht="15" hidden="false" customHeight="false" outlineLevel="0" collapsed="false">
      <c r="A241" s="15" t="n">
        <v>240</v>
      </c>
      <c r="B241" s="15" t="n">
        <f aca="false">ROUNDUP(A241/12,0)</f>
        <v>20</v>
      </c>
      <c r="C241" s="14" t="n">
        <f aca="false">Předpoklady!$B$4</f>
        <v>4000</v>
      </c>
      <c r="D241" s="16" t="n">
        <f aca="false">(D240+C241)*(1+Předpoklady!$B$10)</f>
        <v>2041624.24410343</v>
      </c>
      <c r="E241" s="16" t="n">
        <f aca="false">IF(AND(A241&gt;12,MOD(A241,12)=Předpoklady!$B$8),Předpoklady!$B$12,0)</f>
        <v>0</v>
      </c>
      <c r="F241" s="16" t="n">
        <f aca="false">F240+E241</f>
        <v>136800</v>
      </c>
      <c r="G241" s="16" t="n">
        <f aca="false">G240*(1+Předpoklady!$B$10)+E241</f>
        <v>281545.733787181</v>
      </c>
    </row>
    <row r="242" customFormat="false" ht="15" hidden="false" customHeight="false" outlineLevel="0" collapsed="false">
      <c r="A242" s="15" t="n">
        <v>241</v>
      </c>
      <c r="B242" s="15" t="n">
        <f aca="false">ROUNDUP(A242/12,0)</f>
        <v>21</v>
      </c>
      <c r="C242" s="14" t="n">
        <f aca="false">Předpoklady!$B$4</f>
        <v>4000</v>
      </c>
      <c r="D242" s="16" t="n">
        <f aca="false">(D241+C242)*(1+Předpoklady!$B$10)</f>
        <v>2057190.5009876</v>
      </c>
      <c r="E242" s="16" t="n">
        <f aca="false">IF(AND(A242&gt;12,MOD(A242,12)=Předpoklady!$B$8),Předpoklady!$B$12,0)</f>
        <v>0</v>
      </c>
      <c r="F242" s="16" t="n">
        <f aca="false">F241+E242</f>
        <v>136800</v>
      </c>
      <c r="G242" s="16" t="n">
        <f aca="false">G241*(1+Předpoklady!$B$10)+E242</f>
        <v>283137.634299217</v>
      </c>
    </row>
    <row r="243" customFormat="false" ht="15" hidden="false" customHeight="false" outlineLevel="0" collapsed="false">
      <c r="A243" s="15" t="n">
        <v>242</v>
      </c>
      <c r="B243" s="15" t="n">
        <f aca="false">ROUNDUP(A243/12,0)</f>
        <v>21</v>
      </c>
      <c r="C243" s="14" t="n">
        <f aca="false">Předpoklady!$B$4</f>
        <v>4000</v>
      </c>
      <c r="D243" s="16" t="n">
        <f aca="false">(D242+C243)*(1+Předpoklady!$B$10)</f>
        <v>2072844.77175132</v>
      </c>
      <c r="E243" s="16" t="n">
        <f aca="false">IF(AND(A243&gt;12,MOD(A243,12)=Předpoklady!$B$8),Předpoklady!$B$12,0)</f>
        <v>0</v>
      </c>
      <c r="F243" s="16" t="n">
        <f aca="false">F242+E243</f>
        <v>136800</v>
      </c>
      <c r="G243" s="16" t="n">
        <f aca="false">G242*(1+Předpoklady!$B$10)+E243</f>
        <v>284738.535648191</v>
      </c>
    </row>
    <row r="244" customFormat="false" ht="15" hidden="false" customHeight="false" outlineLevel="0" collapsed="false">
      <c r="A244" s="15" t="n">
        <v>243</v>
      </c>
      <c r="B244" s="15" t="n">
        <f aca="false">ROUNDUP(A244/12,0)</f>
        <v>21</v>
      </c>
      <c r="C244" s="14" t="n">
        <f aca="false">Předpoklady!$B$4</f>
        <v>4000</v>
      </c>
      <c r="D244" s="16" t="n">
        <f aca="false">(D243+C244)*(1+Předpoklady!$B$10)</f>
        <v>2088587.55403787</v>
      </c>
      <c r="E244" s="16" t="n">
        <f aca="false">IF(AND(A244&gt;12,MOD(A244,12)=Předpoklady!$B$8),Předpoklady!$B$12,0)</f>
        <v>0</v>
      </c>
      <c r="F244" s="16" t="n">
        <f aca="false">F243+E244</f>
        <v>136800</v>
      </c>
      <c r="G244" s="16" t="n">
        <f aca="false">G243*(1+Předpoklady!$B$10)+E244</f>
        <v>286348.488726142</v>
      </c>
    </row>
    <row r="245" customFormat="false" ht="15" hidden="false" customHeight="false" outlineLevel="0" collapsed="false">
      <c r="A245" s="15" t="n">
        <v>244</v>
      </c>
      <c r="B245" s="15" t="n">
        <f aca="false">ROUNDUP(A245/12,0)</f>
        <v>21</v>
      </c>
      <c r="C245" s="14" t="n">
        <f aca="false">Předpoklady!$B$4</f>
        <v>4000</v>
      </c>
      <c r="D245" s="16" t="n">
        <f aca="false">(D244+C245)*(1+Předpoklady!$B$10)</f>
        <v>2104419.34830428</v>
      </c>
      <c r="E245" s="16" t="n">
        <f aca="false">IF(AND(A245&gt;12,MOD(A245,12)=Předpoklady!$B$8),Předpoklady!$B$12,0)</f>
        <v>7200</v>
      </c>
      <c r="F245" s="16" t="n">
        <f aca="false">F244+E245</f>
        <v>144000</v>
      </c>
      <c r="G245" s="16" t="n">
        <f aca="false">G244*(1+Předpoklady!$B$10)+E245</f>
        <v>295167.544712864</v>
      </c>
    </row>
    <row r="246" customFormat="false" ht="15" hidden="false" customHeight="false" outlineLevel="0" collapsed="false">
      <c r="A246" s="15" t="n">
        <v>245</v>
      </c>
      <c r="B246" s="15" t="n">
        <f aca="false">ROUNDUP(A246/12,0)</f>
        <v>21</v>
      </c>
      <c r="C246" s="14" t="n">
        <f aca="false">Předpoklady!$B$4</f>
        <v>4000</v>
      </c>
      <c r="D246" s="16" t="n">
        <f aca="false">(D245+C246)*(1+Předpoklady!$B$10)</f>
        <v>2120340.65783721</v>
      </c>
      <c r="E246" s="16" t="n">
        <f aca="false">IF(AND(A246&gt;12,MOD(A246,12)=Předpoklady!$B$8),Předpoklady!$B$12,0)</f>
        <v>0</v>
      </c>
      <c r="F246" s="16" t="n">
        <f aca="false">F245+E246</f>
        <v>144000</v>
      </c>
      <c r="G246" s="16" t="n">
        <f aca="false">G245*(1+Předpoklady!$B$10)+E246</f>
        <v>296836.464924314</v>
      </c>
    </row>
    <row r="247" customFormat="false" ht="15" hidden="false" customHeight="false" outlineLevel="0" collapsed="false">
      <c r="A247" s="15" t="n">
        <v>246</v>
      </c>
      <c r="B247" s="15" t="n">
        <f aca="false">ROUNDUP(A247/12,0)</f>
        <v>21</v>
      </c>
      <c r="C247" s="14" t="n">
        <f aca="false">Předpoklady!$B$4</f>
        <v>4000</v>
      </c>
      <c r="D247" s="16" t="n">
        <f aca="false">(D246+C247)*(1+Předpoklady!$B$10)</f>
        <v>2136351.988769</v>
      </c>
      <c r="E247" s="16" t="n">
        <f aca="false">IF(AND(A247&gt;12,MOD(A247,12)=Předpoklady!$B$8),Předpoklady!$B$12,0)</f>
        <v>0</v>
      </c>
      <c r="F247" s="16" t="n">
        <f aca="false">F246+E247</f>
        <v>144000</v>
      </c>
      <c r="G247" s="16" t="n">
        <f aca="false">G246*(1+Předpoklady!$B$10)+E247</f>
        <v>298514.821453279</v>
      </c>
    </row>
    <row r="248" customFormat="false" ht="15" hidden="false" customHeight="false" outlineLevel="0" collapsed="false">
      <c r="A248" s="15" t="n">
        <v>247</v>
      </c>
      <c r="B248" s="15" t="n">
        <f aca="false">ROUNDUP(A248/12,0)</f>
        <v>21</v>
      </c>
      <c r="C248" s="14" t="n">
        <f aca="false">Předpoklady!$B$4</f>
        <v>4000</v>
      </c>
      <c r="D248" s="16" t="n">
        <f aca="false">(D247+C248)*(1+Předpoklady!$B$10)</f>
        <v>2152453.85009372</v>
      </c>
      <c r="E248" s="16" t="n">
        <f aca="false">IF(AND(A248&gt;12,MOD(A248,12)=Předpoklady!$B$8),Předpoklady!$B$12,0)</f>
        <v>0</v>
      </c>
      <c r="F248" s="16" t="n">
        <f aca="false">F247+E248</f>
        <v>144000</v>
      </c>
      <c r="G248" s="16" t="n">
        <f aca="false">G247*(1+Předpoklady!$B$10)+E248</f>
        <v>300202.667654072</v>
      </c>
    </row>
    <row r="249" customFormat="false" ht="15" hidden="false" customHeight="false" outlineLevel="0" collapsed="false">
      <c r="A249" s="15" t="n">
        <v>248</v>
      </c>
      <c r="B249" s="15" t="n">
        <f aca="false">ROUNDUP(A249/12,0)</f>
        <v>21</v>
      </c>
      <c r="C249" s="14" t="n">
        <f aca="false">Předpoklady!$B$4</f>
        <v>4000</v>
      </c>
      <c r="D249" s="16" t="n">
        <f aca="false">(D248+C249)*(1+Předpoklady!$B$10)</f>
        <v>2168646.75368338</v>
      </c>
      <c r="E249" s="16" t="n">
        <f aca="false">IF(AND(A249&gt;12,MOD(A249,12)=Předpoklady!$B$8),Předpoklady!$B$12,0)</f>
        <v>0</v>
      </c>
      <c r="F249" s="16" t="n">
        <f aca="false">F248+E249</f>
        <v>144000</v>
      </c>
      <c r="G249" s="16" t="n">
        <f aca="false">G248*(1+Předpoklady!$B$10)+E249</f>
        <v>301900.057182675</v>
      </c>
    </row>
    <row r="250" customFormat="false" ht="15" hidden="false" customHeight="false" outlineLevel="0" collapsed="false">
      <c r="A250" s="15" t="n">
        <v>249</v>
      </c>
      <c r="B250" s="15" t="n">
        <f aca="false">ROUNDUP(A250/12,0)</f>
        <v>21</v>
      </c>
      <c r="C250" s="14" t="n">
        <f aca="false">Předpoklady!$B$4</f>
        <v>4000</v>
      </c>
      <c r="D250" s="16" t="n">
        <f aca="false">(D249+C250)*(1+Předpoklady!$B$10)</f>
        <v>2184931.21430418</v>
      </c>
      <c r="E250" s="16" t="n">
        <f aca="false">IF(AND(A250&gt;12,MOD(A250,12)=Předpoklady!$B$8),Předpoklady!$B$12,0)</f>
        <v>0</v>
      </c>
      <c r="F250" s="16" t="n">
        <f aca="false">F249+E250</f>
        <v>144000</v>
      </c>
      <c r="G250" s="16" t="n">
        <f aca="false">G249*(1+Předpoklady!$B$10)+E250</f>
        <v>303607.043998451</v>
      </c>
    </row>
    <row r="251" customFormat="false" ht="15" hidden="false" customHeight="false" outlineLevel="0" collapsed="false">
      <c r="A251" s="15" t="n">
        <v>250</v>
      </c>
      <c r="B251" s="15" t="n">
        <f aca="false">ROUNDUP(A251/12,0)</f>
        <v>21</v>
      </c>
      <c r="C251" s="14" t="n">
        <f aca="false">Předpoklady!$B$4</f>
        <v>4000</v>
      </c>
      <c r="D251" s="16" t="n">
        <f aca="false">(D250+C251)*(1+Předpoklady!$B$10)</f>
        <v>2201307.74963288</v>
      </c>
      <c r="E251" s="16" t="n">
        <f aca="false">IF(AND(A251&gt;12,MOD(A251,12)=Předpoklady!$B$8),Předpoklady!$B$12,0)</f>
        <v>0</v>
      </c>
      <c r="F251" s="16" t="n">
        <f aca="false">F250+E251</f>
        <v>144000</v>
      </c>
      <c r="G251" s="16" t="n">
        <f aca="false">G250*(1+Předpoklady!$B$10)+E251</f>
        <v>305323.682365859</v>
      </c>
    </row>
    <row r="252" customFormat="false" ht="15" hidden="false" customHeight="false" outlineLevel="0" collapsed="false">
      <c r="A252" s="15" t="n">
        <v>251</v>
      </c>
      <c r="B252" s="15" t="n">
        <f aca="false">ROUNDUP(A252/12,0)</f>
        <v>21</v>
      </c>
      <c r="C252" s="14" t="n">
        <f aca="false">Předpoklady!$B$4</f>
        <v>4000</v>
      </c>
      <c r="D252" s="16" t="n">
        <f aca="false">(D251+C252)*(1+Předpoklady!$B$10)</f>
        <v>2217776.88027328</v>
      </c>
      <c r="E252" s="16" t="n">
        <f aca="false">IF(AND(A252&gt;12,MOD(A252,12)=Předpoklady!$B$8),Předpoklady!$B$12,0)</f>
        <v>0</v>
      </c>
      <c r="F252" s="16" t="n">
        <f aca="false">F251+E252</f>
        <v>144000</v>
      </c>
      <c r="G252" s="16" t="n">
        <f aca="false">G251*(1+Předpoklady!$B$10)+E252</f>
        <v>307050.026856173</v>
      </c>
    </row>
    <row r="253" customFormat="false" ht="15" hidden="false" customHeight="false" outlineLevel="0" collapsed="false">
      <c r="A253" s="15" t="n">
        <v>252</v>
      </c>
      <c r="B253" s="15" t="n">
        <f aca="false">ROUNDUP(A253/12,0)</f>
        <v>21</v>
      </c>
      <c r="C253" s="14" t="n">
        <f aca="false">Předpoklady!$B$4</f>
        <v>4000</v>
      </c>
      <c r="D253" s="16" t="n">
        <f aca="false">(D252+C253)*(1+Předpoklady!$B$10)</f>
        <v>2234339.12977272</v>
      </c>
      <c r="E253" s="16" t="n">
        <f aca="false">IF(AND(A253&gt;12,MOD(A253,12)=Předpoklady!$B$8),Předpoklady!$B$12,0)</f>
        <v>0</v>
      </c>
      <c r="F253" s="16" t="n">
        <f aca="false">F252+E253</f>
        <v>144000</v>
      </c>
      <c r="G253" s="16" t="n">
        <f aca="false">G252*(1+Předpoklady!$B$10)+E253</f>
        <v>308786.132349225</v>
      </c>
    </row>
    <row r="254" customFormat="false" ht="15" hidden="false" customHeight="false" outlineLevel="0" collapsed="false">
      <c r="A254" s="15" t="n">
        <v>253</v>
      </c>
      <c r="B254" s="15" t="n">
        <f aca="false">ROUNDUP(A254/12,0)</f>
        <v>22</v>
      </c>
      <c r="C254" s="14" t="n">
        <f aca="false">Předpoklady!$B$4</f>
        <v>4000</v>
      </c>
      <c r="D254" s="16" t="n">
        <f aca="false">(D253+C254)*(1+Předpoklady!$B$10)</f>
        <v>2250995.02463877</v>
      </c>
      <c r="E254" s="16" t="n">
        <f aca="false">IF(AND(A254&gt;12,MOD(A254,12)=Předpoklady!$B$8),Předpoklady!$B$12,0)</f>
        <v>0</v>
      </c>
      <c r="F254" s="16" t="n">
        <f aca="false">F253+E254</f>
        <v>144000</v>
      </c>
      <c r="G254" s="16" t="n">
        <f aca="false">G253*(1+Předpoklady!$B$10)+E254</f>
        <v>310532.054035142</v>
      </c>
    </row>
    <row r="255" customFormat="false" ht="15" hidden="false" customHeight="false" outlineLevel="0" collapsed="false">
      <c r="A255" s="15" t="n">
        <v>254</v>
      </c>
      <c r="B255" s="15" t="n">
        <f aca="false">ROUNDUP(A255/12,0)</f>
        <v>22</v>
      </c>
      <c r="C255" s="14" t="n">
        <f aca="false">Předpoklady!$B$4</f>
        <v>4000</v>
      </c>
      <c r="D255" s="16" t="n">
        <f aca="false">(D254+C255)*(1+Předpoklady!$B$10)</f>
        <v>2267745.09435596</v>
      </c>
      <c r="E255" s="16" t="n">
        <f aca="false">IF(AND(A255&gt;12,MOD(A255,12)=Předpoklady!$B$8),Předpoklady!$B$12,0)</f>
        <v>0</v>
      </c>
      <c r="F255" s="16" t="n">
        <f aca="false">F254+E255</f>
        <v>144000</v>
      </c>
      <c r="G255" s="16" t="n">
        <f aca="false">G254*(1+Předpoklady!$B$10)+E255</f>
        <v>312287.847416106</v>
      </c>
    </row>
    <row r="256" customFormat="false" ht="15" hidden="false" customHeight="false" outlineLevel="0" collapsed="false">
      <c r="A256" s="15" t="n">
        <v>255</v>
      </c>
      <c r="B256" s="15" t="n">
        <f aca="false">ROUNDUP(A256/12,0)</f>
        <v>22</v>
      </c>
      <c r="C256" s="14" t="n">
        <f aca="false">Předpoklady!$B$4</f>
        <v>4000</v>
      </c>
      <c r="D256" s="16" t="n">
        <f aca="false">(D255+C256)*(1+Předpoklady!$B$10)</f>
        <v>2284589.87140257</v>
      </c>
      <c r="E256" s="16" t="n">
        <f aca="false">IF(AND(A256&gt;12,MOD(A256,12)=Předpoklady!$B$8),Předpoklady!$B$12,0)</f>
        <v>0</v>
      </c>
      <c r="F256" s="16" t="n">
        <f aca="false">F255+E256</f>
        <v>144000</v>
      </c>
      <c r="G256" s="16" t="n">
        <f aca="false">G255*(1+Předpoklady!$B$10)+E256</f>
        <v>314053.568308117</v>
      </c>
    </row>
    <row r="257" customFormat="false" ht="15" hidden="false" customHeight="false" outlineLevel="0" collapsed="false">
      <c r="A257" s="15" t="n">
        <v>256</v>
      </c>
      <c r="B257" s="15" t="n">
        <f aca="false">ROUNDUP(A257/12,0)</f>
        <v>22</v>
      </c>
      <c r="C257" s="14" t="n">
        <f aca="false">Předpoklady!$B$4</f>
        <v>4000</v>
      </c>
      <c r="D257" s="16" t="n">
        <f aca="false">(D256+C257)*(1+Předpoklady!$B$10)</f>
        <v>2301529.89126762</v>
      </c>
      <c r="E257" s="16" t="n">
        <f aca="false">IF(AND(A257&gt;12,MOD(A257,12)=Předpoklady!$B$8),Předpoklady!$B$12,0)</f>
        <v>7200</v>
      </c>
      <c r="F257" s="16" t="n">
        <f aca="false">F256+E257</f>
        <v>151200</v>
      </c>
      <c r="G257" s="16" t="n">
        <f aca="false">G256*(1+Předpoklady!$B$10)+E257</f>
        <v>323029.272842764</v>
      </c>
    </row>
    <row r="258" customFormat="false" ht="15" hidden="false" customHeight="false" outlineLevel="0" collapsed="false">
      <c r="A258" s="15" t="n">
        <v>257</v>
      </c>
      <c r="B258" s="15" t="n">
        <f aca="false">ROUNDUP(A258/12,0)</f>
        <v>22</v>
      </c>
      <c r="C258" s="14" t="n">
        <f aca="false">Předpoklady!$B$4</f>
        <v>4000</v>
      </c>
      <c r="D258" s="16" t="n">
        <f aca="false">(D257+C258)*(1+Předpoklady!$B$10)</f>
        <v>2318565.69246786</v>
      </c>
      <c r="E258" s="16" t="n">
        <f aca="false">IF(AND(A258&gt;12,MOD(A258,12)=Předpoklady!$B$8),Předpoklady!$B$12,0)</f>
        <v>0</v>
      </c>
      <c r="F258" s="16" t="n">
        <f aca="false">F257+E258</f>
        <v>151200</v>
      </c>
      <c r="G258" s="16" t="n">
        <f aca="false">G257*(1+Předpoklady!$B$10)+E258</f>
        <v>324855.727315805</v>
      </c>
    </row>
    <row r="259" customFormat="false" ht="15" hidden="false" customHeight="false" outlineLevel="0" collapsed="false">
      <c r="A259" s="15" t="n">
        <v>258</v>
      </c>
      <c r="B259" s="15" t="n">
        <f aca="false">ROUNDUP(A259/12,0)</f>
        <v>22</v>
      </c>
      <c r="C259" s="14" t="n">
        <f aca="false">Předpoklady!$B$4</f>
        <v>4000</v>
      </c>
      <c r="D259" s="16" t="n">
        <f aca="false">(D258+C259)*(1+Předpoklady!$B$10)</f>
        <v>2335697.81656487</v>
      </c>
      <c r="E259" s="16" t="n">
        <f aca="false">IF(AND(A259&gt;12,MOD(A259,12)=Předpoklady!$B$8),Předpoklady!$B$12,0)</f>
        <v>0</v>
      </c>
      <c r="F259" s="16" t="n">
        <f aca="false">F258+E259</f>
        <v>151200</v>
      </c>
      <c r="G259" s="16" t="n">
        <f aca="false">G258*(1+Předpoklady!$B$10)+E259</f>
        <v>326692.50882798</v>
      </c>
    </row>
    <row r="260" customFormat="false" ht="15" hidden="false" customHeight="false" outlineLevel="0" collapsed="false">
      <c r="A260" s="15" t="n">
        <v>259</v>
      </c>
      <c r="B260" s="15" t="n">
        <f aca="false">ROUNDUP(A260/12,0)</f>
        <v>22</v>
      </c>
      <c r="C260" s="14" t="n">
        <f aca="false">Předpoklady!$B$4</f>
        <v>4000</v>
      </c>
      <c r="D260" s="16" t="n">
        <f aca="false">(D259+C260)*(1+Předpoklady!$B$10)</f>
        <v>2352926.80818232</v>
      </c>
      <c r="E260" s="16" t="n">
        <f aca="false">IF(AND(A260&gt;12,MOD(A260,12)=Předpoklady!$B$8),Předpoklady!$B$12,0)</f>
        <v>0</v>
      </c>
      <c r="F260" s="16" t="n">
        <f aca="false">F259+E260</f>
        <v>151200</v>
      </c>
      <c r="G260" s="16" t="n">
        <f aca="false">G259*(1+Předpoklady!$B$10)+E260</f>
        <v>328539.67576987</v>
      </c>
    </row>
    <row r="261" customFormat="false" ht="15" hidden="false" customHeight="false" outlineLevel="0" collapsed="false">
      <c r="A261" s="15" t="n">
        <v>260</v>
      </c>
      <c r="B261" s="15" t="n">
        <f aca="false">ROUNDUP(A261/12,0)</f>
        <v>22</v>
      </c>
      <c r="C261" s="14" t="n">
        <f aca="false">Předpoklady!$B$4</f>
        <v>4000</v>
      </c>
      <c r="D261" s="16" t="n">
        <f aca="false">(D260+C261)*(1+Předpoklady!$B$10)</f>
        <v>2370253.21502326</v>
      </c>
      <c r="E261" s="16" t="n">
        <f aca="false">IF(AND(A261&gt;12,MOD(A261,12)=Předpoklady!$B$8),Předpoklady!$B$12,0)</f>
        <v>0</v>
      </c>
      <c r="F261" s="16" t="n">
        <f aca="false">F260+E261</f>
        <v>151200</v>
      </c>
      <c r="G261" s="16" t="n">
        <f aca="false">G260*(1+Předpoklady!$B$10)+E261</f>
        <v>330397.286862203</v>
      </c>
    </row>
    <row r="262" customFormat="false" ht="15" hidden="false" customHeight="false" outlineLevel="0" collapsed="false">
      <c r="A262" s="15" t="n">
        <v>261</v>
      </c>
      <c r="B262" s="15" t="n">
        <f aca="false">ROUNDUP(A262/12,0)</f>
        <v>22</v>
      </c>
      <c r="C262" s="14" t="n">
        <f aca="false">Předpoklady!$B$4</f>
        <v>4000</v>
      </c>
      <c r="D262" s="16" t="n">
        <f aca="false">(D261+C262)*(1+Předpoklady!$B$10)</f>
        <v>2387677.58788752</v>
      </c>
      <c r="E262" s="16" t="n">
        <f aca="false">IF(AND(A262&gt;12,MOD(A262,12)=Předpoklady!$B$8),Předpoklady!$B$12,0)</f>
        <v>0</v>
      </c>
      <c r="F262" s="16" t="n">
        <f aca="false">F261+E262</f>
        <v>151200</v>
      </c>
      <c r="G262" s="16" t="n">
        <f aca="false">G261*(1+Předpoklady!$B$10)+E262</f>
        <v>332265.401157727</v>
      </c>
    </row>
    <row r="263" customFormat="false" ht="15" hidden="false" customHeight="false" outlineLevel="0" collapsed="false">
      <c r="A263" s="15" t="n">
        <v>262</v>
      </c>
      <c r="B263" s="15" t="n">
        <f aca="false">ROUNDUP(A263/12,0)</f>
        <v>22</v>
      </c>
      <c r="C263" s="14" t="n">
        <f aca="false">Předpoklady!$B$4</f>
        <v>4000</v>
      </c>
      <c r="D263" s="16" t="n">
        <f aca="false">(D262+C263)*(1+Předpoklady!$B$10)</f>
        <v>2405200.48068923</v>
      </c>
      <c r="E263" s="16" t="n">
        <f aca="false">IF(AND(A263&gt;12,MOD(A263,12)=Předpoklady!$B$8),Předpoklady!$B$12,0)</f>
        <v>0</v>
      </c>
      <c r="F263" s="16" t="n">
        <f aca="false">F262+E263</f>
        <v>151200</v>
      </c>
      <c r="G263" s="16" t="n">
        <f aca="false">G262*(1+Předpoklady!$B$10)+E263</f>
        <v>334144.078043077</v>
      </c>
    </row>
    <row r="264" customFormat="false" ht="15" hidden="false" customHeight="false" outlineLevel="0" collapsed="false">
      <c r="A264" s="15" t="n">
        <v>263</v>
      </c>
      <c r="B264" s="15" t="n">
        <f aca="false">ROUNDUP(A264/12,0)</f>
        <v>22</v>
      </c>
      <c r="C264" s="14" t="n">
        <f aca="false">Předpoklady!$B$4</f>
        <v>4000</v>
      </c>
      <c r="D264" s="16" t="n">
        <f aca="false">(D263+C264)*(1+Předpoklady!$B$10)</f>
        <v>2422822.45047445</v>
      </c>
      <c r="E264" s="16" t="n">
        <f aca="false">IF(AND(A264&gt;12,MOD(A264,12)=Předpoklady!$B$8),Předpoklady!$B$12,0)</f>
        <v>0</v>
      </c>
      <c r="F264" s="16" t="n">
        <f aca="false">F263+E264</f>
        <v>151200</v>
      </c>
      <c r="G264" s="16" t="n">
        <f aca="false">G263*(1+Předpoklady!$B$10)+E264</f>
        <v>336033.377240673</v>
      </c>
    </row>
    <row r="265" customFormat="false" ht="15" hidden="false" customHeight="false" outlineLevel="0" collapsed="false">
      <c r="A265" s="15" t="n">
        <v>264</v>
      </c>
      <c r="B265" s="15" t="n">
        <f aca="false">ROUNDUP(A265/12,0)</f>
        <v>22</v>
      </c>
      <c r="C265" s="14" t="n">
        <f aca="false">Předpoklady!$B$4</f>
        <v>4000</v>
      </c>
      <c r="D265" s="16" t="n">
        <f aca="false">(D264+C265)*(1+Předpoklady!$B$10)</f>
        <v>2440544.05743886</v>
      </c>
      <c r="E265" s="16" t="n">
        <f aca="false">IF(AND(A265&gt;12,MOD(A265,12)=Předpoklady!$B$8),Předpoklady!$B$12,0)</f>
        <v>0</v>
      </c>
      <c r="F265" s="16" t="n">
        <f aca="false">F264+E265</f>
        <v>151200</v>
      </c>
      <c r="G265" s="16" t="n">
        <f aca="false">G264*(1+Předpoklady!$B$10)+E265</f>
        <v>337933.358810613</v>
      </c>
    </row>
    <row r="266" customFormat="false" ht="15" hidden="false" customHeight="false" outlineLevel="0" collapsed="false">
      <c r="A266" s="15" t="n">
        <v>265</v>
      </c>
      <c r="B266" s="15" t="n">
        <f aca="false">ROUNDUP(A266/12,0)</f>
        <v>23</v>
      </c>
      <c r="C266" s="14" t="n">
        <f aca="false">Předpoklady!$B$4</f>
        <v>4000</v>
      </c>
      <c r="D266" s="16" t="n">
        <f aca="false">(D265+C266)*(1+Předpoklady!$B$10)</f>
        <v>2458365.86494553</v>
      </c>
      <c r="E266" s="16" t="n">
        <f aca="false">IF(AND(A266&gt;12,MOD(A266,12)=Předpoklady!$B$8),Předpoklady!$B$12,0)</f>
        <v>0</v>
      </c>
      <c r="F266" s="16" t="n">
        <f aca="false">F265+E266</f>
        <v>151200</v>
      </c>
      <c r="G266" s="16" t="n">
        <f aca="false">G265*(1+Předpoklady!$B$10)+E266</f>
        <v>339844.083152582</v>
      </c>
    </row>
    <row r="267" customFormat="false" ht="15" hidden="false" customHeight="false" outlineLevel="0" collapsed="false">
      <c r="A267" s="15" t="n">
        <v>266</v>
      </c>
      <c r="B267" s="15" t="n">
        <f aca="false">ROUNDUP(A267/12,0)</f>
        <v>23</v>
      </c>
      <c r="C267" s="14" t="n">
        <f aca="false">Předpoklady!$B$4</f>
        <v>4000</v>
      </c>
      <c r="D267" s="16" t="n">
        <f aca="false">(D266+C267)*(1+Předpoklady!$B$10)</f>
        <v>2476288.43954292</v>
      </c>
      <c r="E267" s="16" t="n">
        <f aca="false">IF(AND(A267&gt;12,MOD(A267,12)=Předpoklady!$B$8),Předpoklady!$B$12,0)</f>
        <v>0</v>
      </c>
      <c r="F267" s="16" t="n">
        <f aca="false">F266+E267</f>
        <v>151200</v>
      </c>
      <c r="G267" s="16" t="n">
        <f aca="false">G266*(1+Předpoklady!$B$10)+E267</f>
        <v>341765.611007776</v>
      </c>
    </row>
    <row r="268" customFormat="false" ht="15" hidden="false" customHeight="false" outlineLevel="0" collapsed="false">
      <c r="A268" s="15" t="n">
        <v>267</v>
      </c>
      <c r="B268" s="15" t="n">
        <f aca="false">ROUNDUP(A268/12,0)</f>
        <v>23</v>
      </c>
      <c r="C268" s="14" t="n">
        <f aca="false">Předpoklady!$B$4</f>
        <v>4000</v>
      </c>
      <c r="D268" s="16" t="n">
        <f aca="false">(D267+C268)*(1+Předpoklady!$B$10)</f>
        <v>2494312.35098279</v>
      </c>
      <c r="E268" s="16" t="n">
        <f aca="false">IF(AND(A268&gt;12,MOD(A268,12)=Předpoklady!$B$8),Předpoklady!$B$12,0)</f>
        <v>0</v>
      </c>
      <c r="F268" s="16" t="n">
        <f aca="false">F267+E268</f>
        <v>151200</v>
      </c>
      <c r="G268" s="16" t="n">
        <f aca="false">G267*(1+Předpoklady!$B$10)+E268</f>
        <v>343698.00346083</v>
      </c>
    </row>
    <row r="269" customFormat="false" ht="15" hidden="false" customHeight="false" outlineLevel="0" collapsed="false">
      <c r="A269" s="15" t="n">
        <v>268</v>
      </c>
      <c r="B269" s="15" t="n">
        <f aca="false">ROUNDUP(A269/12,0)</f>
        <v>23</v>
      </c>
      <c r="C269" s="14" t="n">
        <f aca="false">Předpoklady!$B$4</f>
        <v>4000</v>
      </c>
      <c r="D269" s="16" t="n">
        <f aca="false">(D268+C269)*(1+Předpoklady!$B$10)</f>
        <v>2512438.1722384</v>
      </c>
      <c r="E269" s="16" t="n">
        <f aca="false">IF(AND(A269&gt;12,MOD(A269,12)=Předpoklady!$B$8),Předpoklady!$B$12,0)</f>
        <v>7200</v>
      </c>
      <c r="F269" s="16" t="n">
        <f aca="false">F268+E269</f>
        <v>158400</v>
      </c>
      <c r="G269" s="16" t="n">
        <f aca="false">G268*(1+Předpoklady!$B$10)+E269</f>
        <v>352841.321941758</v>
      </c>
    </row>
    <row r="270" customFormat="false" ht="15" hidden="false" customHeight="false" outlineLevel="0" collapsed="false">
      <c r="A270" s="15" t="n">
        <v>269</v>
      </c>
      <c r="B270" s="15" t="n">
        <f aca="false">ROUNDUP(A270/12,0)</f>
        <v>23</v>
      </c>
      <c r="C270" s="14" t="n">
        <f aca="false">Předpoklady!$B$4</f>
        <v>4000</v>
      </c>
      <c r="D270" s="16" t="n">
        <f aca="false">(D269+C270)*(1+Předpoklady!$B$10)</f>
        <v>2530666.47952265</v>
      </c>
      <c r="E270" s="16" t="n">
        <f aca="false">IF(AND(A270&gt;12,MOD(A270,12)=Předpoklady!$B$8),Předpoklady!$B$12,0)</f>
        <v>0</v>
      </c>
      <c r="F270" s="16" t="n">
        <f aca="false">F269+E270</f>
        <v>158400</v>
      </c>
      <c r="G270" s="16" t="n">
        <f aca="false">G269*(1+Předpoklady!$B$10)+E270</f>
        <v>354836.338074701</v>
      </c>
    </row>
    <row r="271" customFormat="false" ht="15" hidden="false" customHeight="false" outlineLevel="0" collapsed="false">
      <c r="A271" s="15" t="n">
        <v>270</v>
      </c>
      <c r="B271" s="15" t="n">
        <f aca="false">ROUNDUP(A271/12,0)</f>
        <v>23</v>
      </c>
      <c r="C271" s="14" t="n">
        <f aca="false">Předpoklady!$B$4</f>
        <v>4000</v>
      </c>
      <c r="D271" s="16" t="n">
        <f aca="false">(D270+C271)*(1+Předpoklady!$B$10)</f>
        <v>2548997.85230646</v>
      </c>
      <c r="E271" s="16" t="n">
        <f aca="false">IF(AND(A271&gt;12,MOD(A271,12)=Předpoklady!$B$8),Předpoklady!$B$12,0)</f>
        <v>0</v>
      </c>
      <c r="F271" s="16" t="n">
        <f aca="false">F270+E271</f>
        <v>158400</v>
      </c>
      <c r="G271" s="16" t="n">
        <f aca="false">G270*(1+Předpoklady!$B$10)+E271</f>
        <v>356842.63431891</v>
      </c>
    </row>
    <row r="272" customFormat="false" ht="15" hidden="false" customHeight="false" outlineLevel="0" collapsed="false">
      <c r="A272" s="15" t="n">
        <v>271</v>
      </c>
      <c r="B272" s="15" t="n">
        <f aca="false">ROUNDUP(A272/12,0)</f>
        <v>23</v>
      </c>
      <c r="C272" s="14" t="n">
        <f aca="false">Předpoklady!$B$4</f>
        <v>4000</v>
      </c>
      <c r="D272" s="16" t="n">
        <f aca="false">(D271+C272)*(1+Předpoklady!$B$10)</f>
        <v>2567432.87333713</v>
      </c>
      <c r="E272" s="16" t="n">
        <f aca="false">IF(AND(A272&gt;12,MOD(A272,12)=Předpoklady!$B$8),Předpoklady!$B$12,0)</f>
        <v>0</v>
      </c>
      <c r="F272" s="16" t="n">
        <f aca="false">F271+E272</f>
        <v>158400</v>
      </c>
      <c r="G272" s="16" t="n">
        <f aca="false">G271*(1+Předpoklady!$B$10)+E272</f>
        <v>358860.274453774</v>
      </c>
    </row>
    <row r="273" customFormat="false" ht="15" hidden="false" customHeight="false" outlineLevel="0" collapsed="false">
      <c r="A273" s="15" t="n">
        <v>272</v>
      </c>
      <c r="B273" s="15" t="n">
        <f aca="false">ROUNDUP(A273/12,0)</f>
        <v>23</v>
      </c>
      <c r="C273" s="14" t="n">
        <f aca="false">Předpoklady!$B$4</f>
        <v>4000</v>
      </c>
      <c r="D273" s="16" t="n">
        <f aca="false">(D272+C273)*(1+Předpoklady!$B$10)</f>
        <v>2585972.12865693</v>
      </c>
      <c r="E273" s="16" t="n">
        <f aca="false">IF(AND(A273&gt;12,MOD(A273,12)=Předpoklady!$B$8),Předpoklady!$B$12,0)</f>
        <v>0</v>
      </c>
      <c r="F273" s="16" t="n">
        <f aca="false">F272+E273</f>
        <v>158400</v>
      </c>
      <c r="G273" s="16" t="n">
        <f aca="false">G272*(1+Předpoklady!$B$10)+E273</f>
        <v>360889.322619299</v>
      </c>
    </row>
    <row r="274" customFormat="false" ht="15" hidden="false" customHeight="false" outlineLevel="0" collapsed="false">
      <c r="A274" s="15" t="n">
        <v>273</v>
      </c>
      <c r="B274" s="15" t="n">
        <f aca="false">ROUNDUP(A274/12,0)</f>
        <v>23</v>
      </c>
      <c r="C274" s="14" t="n">
        <f aca="false">Předpoklady!$B$4</f>
        <v>4000</v>
      </c>
      <c r="D274" s="16" t="n">
        <f aca="false">(D273+C274)*(1+Předpoklady!$B$10)</f>
        <v>2604616.20762169</v>
      </c>
      <c r="E274" s="16" t="n">
        <f aca="false">IF(AND(A274&gt;12,MOD(A274,12)=Předpoklady!$B$8),Předpoklady!$B$12,0)</f>
        <v>0</v>
      </c>
      <c r="F274" s="16" t="n">
        <f aca="false">F273+E274</f>
        <v>158400</v>
      </c>
      <c r="G274" s="16" t="n">
        <f aca="false">G273*(1+Předpoklady!$B$10)+E274</f>
        <v>362929.843318151</v>
      </c>
    </row>
    <row r="275" customFormat="false" ht="15" hidden="false" customHeight="false" outlineLevel="0" collapsed="false">
      <c r="A275" s="15" t="n">
        <v>274</v>
      </c>
      <c r="B275" s="15" t="n">
        <f aca="false">ROUNDUP(A275/12,0)</f>
        <v>23</v>
      </c>
      <c r="C275" s="14" t="n">
        <f aca="false">Předpoklady!$B$4</f>
        <v>4000</v>
      </c>
      <c r="D275" s="16" t="n">
        <f aca="false">(D274+C275)*(1+Předpoklady!$B$10)</f>
        <v>2623365.70291952</v>
      </c>
      <c r="E275" s="16" t="n">
        <f aca="false">IF(AND(A275&gt;12,MOD(A275,12)=Předpoklady!$B$8),Předpoklady!$B$12,0)</f>
        <v>0</v>
      </c>
      <c r="F275" s="16" t="n">
        <f aca="false">F274+E275</f>
        <v>158400</v>
      </c>
      <c r="G275" s="16" t="n">
        <f aca="false">G274*(1+Předpoklady!$B$10)+E275</f>
        <v>364981.9014177</v>
      </c>
    </row>
    <row r="276" customFormat="false" ht="15" hidden="false" customHeight="false" outlineLevel="0" collapsed="false">
      <c r="A276" s="15" t="n">
        <v>275</v>
      </c>
      <c r="B276" s="15" t="n">
        <f aca="false">ROUNDUP(A276/12,0)</f>
        <v>23</v>
      </c>
      <c r="C276" s="14" t="n">
        <f aca="false">Předpoklady!$B$4</f>
        <v>4000</v>
      </c>
      <c r="D276" s="16" t="n">
        <f aca="false">(D275+C276)*(1+Předpoklady!$B$10)</f>
        <v>2642221.21058971</v>
      </c>
      <c r="E276" s="16" t="n">
        <f aca="false">IF(AND(A276&gt;12,MOD(A276,12)=Předpoklady!$B$8),Předpoklady!$B$12,0)</f>
        <v>0</v>
      </c>
      <c r="F276" s="16" t="n">
        <f aca="false">F275+E276</f>
        <v>158400</v>
      </c>
      <c r="G276" s="16" t="n">
        <f aca="false">G275*(1+Předpoklady!$B$10)+E276</f>
        <v>367045.562152087</v>
      </c>
    </row>
    <row r="277" customFormat="false" ht="15" hidden="false" customHeight="false" outlineLevel="0" collapsed="false">
      <c r="A277" s="15" t="n">
        <v>276</v>
      </c>
      <c r="B277" s="15" t="n">
        <f aca="false">ROUNDUP(A277/12,0)</f>
        <v>23</v>
      </c>
      <c r="C277" s="14" t="n">
        <f aca="false">Předpoklady!$B$4</f>
        <v>4000</v>
      </c>
      <c r="D277" s="16" t="n">
        <f aca="false">(D276+C277)*(1+Předpoklady!$B$10)</f>
        <v>2661183.33004162</v>
      </c>
      <c r="E277" s="16" t="n">
        <f aca="false">IF(AND(A277&gt;12,MOD(A277,12)=Předpoklady!$B$8),Předpoklady!$B$12,0)</f>
        <v>0</v>
      </c>
      <c r="F277" s="16" t="n">
        <f aca="false">F276+E277</f>
        <v>158400</v>
      </c>
      <c r="G277" s="16" t="n">
        <f aca="false">G276*(1+Předpoklady!$B$10)+E277</f>
        <v>369120.891124297</v>
      </c>
    </row>
    <row r="278" customFormat="false" ht="15" hidden="false" customHeight="false" outlineLevel="0" collapsed="false">
      <c r="A278" s="15" t="n">
        <v>277</v>
      </c>
      <c r="B278" s="15" t="n">
        <f aca="false">ROUNDUP(A278/12,0)</f>
        <v>24</v>
      </c>
      <c r="C278" s="14" t="n">
        <f aca="false">Předpoklady!$B$4</f>
        <v>4000</v>
      </c>
      <c r="D278" s="16" t="n">
        <f aca="false">(D277+C278)*(1+Předpoklady!$B$10)</f>
        <v>2680252.66407377</v>
      </c>
      <c r="E278" s="16" t="n">
        <f aca="false">IF(AND(A278&gt;12,MOD(A278,12)=Předpoklady!$B$8),Předpoklady!$B$12,0)</f>
        <v>0</v>
      </c>
      <c r="F278" s="16" t="n">
        <f aca="false">F277+E278</f>
        <v>158400</v>
      </c>
      <c r="G278" s="16" t="n">
        <f aca="false">G277*(1+Předpoklady!$B$10)+E278</f>
        <v>371207.954308243</v>
      </c>
    </row>
    <row r="279" customFormat="false" ht="15" hidden="false" customHeight="false" outlineLevel="0" collapsed="false">
      <c r="A279" s="15" t="n">
        <v>278</v>
      </c>
      <c r="B279" s="15" t="n">
        <f aca="false">ROUNDUP(A279/12,0)</f>
        <v>24</v>
      </c>
      <c r="C279" s="14" t="n">
        <f aca="false">Předpoklady!$B$4</f>
        <v>4000</v>
      </c>
      <c r="D279" s="16" t="n">
        <f aca="false">(D278+C279)*(1+Předpoklady!$B$10)</f>
        <v>2699429.81889297</v>
      </c>
      <c r="E279" s="16" t="n">
        <f aca="false">IF(AND(A279&gt;12,MOD(A279,12)=Předpoklady!$B$8),Předpoklady!$B$12,0)</f>
        <v>0</v>
      </c>
      <c r="F279" s="16" t="n">
        <f aca="false">F278+E279</f>
        <v>158400</v>
      </c>
      <c r="G279" s="16" t="n">
        <f aca="false">G278*(1+Předpoklady!$B$10)+E279</f>
        <v>373306.818050863</v>
      </c>
    </row>
    <row r="280" customFormat="false" ht="15" hidden="false" customHeight="false" outlineLevel="0" collapsed="false">
      <c r="A280" s="15" t="n">
        <v>279</v>
      </c>
      <c r="B280" s="15" t="n">
        <f aca="false">ROUNDUP(A280/12,0)</f>
        <v>24</v>
      </c>
      <c r="C280" s="14" t="n">
        <f aca="false">Předpoklady!$B$4</f>
        <v>4000</v>
      </c>
      <c r="D280" s="16" t="n">
        <f aca="false">(D279+C280)*(1+Předpoklady!$B$10)</f>
        <v>2718715.40413364</v>
      </c>
      <c r="E280" s="16" t="n">
        <f aca="false">IF(AND(A280&gt;12,MOD(A280,12)=Předpoklady!$B$8),Předpoklady!$B$12,0)</f>
        <v>0</v>
      </c>
      <c r="F280" s="16" t="n">
        <f aca="false">F279+E280</f>
        <v>158400</v>
      </c>
      <c r="G280" s="16" t="n">
        <f aca="false">G279*(1+Předpoklady!$B$10)+E280</f>
        <v>375417.549074232</v>
      </c>
    </row>
    <row r="281" customFormat="false" ht="15" hidden="false" customHeight="false" outlineLevel="0" collapsed="false">
      <c r="A281" s="15" t="n">
        <v>280</v>
      </c>
      <c r="B281" s="15" t="n">
        <f aca="false">ROUNDUP(A281/12,0)</f>
        <v>24</v>
      </c>
      <c r="C281" s="14" t="n">
        <f aca="false">Předpoklady!$B$4</f>
        <v>4000</v>
      </c>
      <c r="D281" s="16" t="n">
        <f aca="false">(D280+C281)*(1+Předpoklady!$B$10)</f>
        <v>2738110.03287714</v>
      </c>
      <c r="E281" s="16" t="n">
        <f aca="false">IF(AND(A281&gt;12,MOD(A281,12)=Předpoklady!$B$8),Předpoklady!$B$12,0)</f>
        <v>7200</v>
      </c>
      <c r="F281" s="16" t="n">
        <f aca="false">F280+E281</f>
        <v>165600</v>
      </c>
      <c r="G281" s="16" t="n">
        <f aca="false">G280*(1+Předpoklady!$B$10)+E281</f>
        <v>384740.214477681</v>
      </c>
    </row>
    <row r="282" customFormat="false" ht="15" hidden="false" customHeight="false" outlineLevel="0" collapsed="false">
      <c r="A282" s="15" t="n">
        <v>281</v>
      </c>
      <c r="B282" s="15" t="n">
        <f aca="false">ROUNDUP(A282/12,0)</f>
        <v>24</v>
      </c>
      <c r="C282" s="14" t="n">
        <f aca="false">Předpoklady!$B$4</f>
        <v>4000</v>
      </c>
      <c r="D282" s="16" t="n">
        <f aca="false">(D281+C282)*(1+Předpoklady!$B$10)</f>
        <v>2757614.32167129</v>
      </c>
      <c r="E282" s="16" t="n">
        <f aca="false">IF(AND(A282&gt;12,MOD(A282,12)=Předpoklady!$B$8),Předpoklady!$B$12,0)</f>
        <v>0</v>
      </c>
      <c r="F282" s="16" t="n">
        <f aca="false">F281+E282</f>
        <v>165600</v>
      </c>
      <c r="G282" s="16" t="n">
        <f aca="false">G281*(1+Předpoklady!$B$10)+E282</f>
        <v>386915.591586719</v>
      </c>
    </row>
    <row r="283" customFormat="false" ht="15" hidden="false" customHeight="false" outlineLevel="0" collapsed="false">
      <c r="A283" s="15" t="n">
        <v>282</v>
      </c>
      <c r="B283" s="15" t="n">
        <f aca="false">ROUNDUP(A283/12,0)</f>
        <v>24</v>
      </c>
      <c r="C283" s="14" t="n">
        <f aca="false">Předpoklady!$B$4</f>
        <v>4000</v>
      </c>
      <c r="D283" s="16" t="n">
        <f aca="false">(D282+C283)*(1+Předpoklady!$B$10)</f>
        <v>2777228.89054996</v>
      </c>
      <c r="E283" s="16" t="n">
        <f aca="false">IF(AND(A283&gt;12,MOD(A283,12)=Předpoklady!$B$8),Předpoklady!$B$12,0)</f>
        <v>0</v>
      </c>
      <c r="F283" s="16" t="n">
        <f aca="false">F282+E283</f>
        <v>165600</v>
      </c>
      <c r="G283" s="16" t="n">
        <f aca="false">G282*(1+Předpoklady!$B$10)+E283</f>
        <v>389103.268594205</v>
      </c>
    </row>
    <row r="284" customFormat="false" ht="15" hidden="false" customHeight="false" outlineLevel="0" collapsed="false">
      <c r="A284" s="15" t="n">
        <v>283</v>
      </c>
      <c r="B284" s="15" t="n">
        <f aca="false">ROUNDUP(A284/12,0)</f>
        <v>24</v>
      </c>
      <c r="C284" s="14" t="n">
        <f aca="false">Předpoklady!$B$4</f>
        <v>4000</v>
      </c>
      <c r="D284" s="16" t="n">
        <f aca="false">(D283+C284)*(1+Předpoklady!$B$10)</f>
        <v>2796954.36305278</v>
      </c>
      <c r="E284" s="16" t="n">
        <f aca="false">IF(AND(A284&gt;12,MOD(A284,12)=Předpoklady!$B$8),Předpoklady!$B$12,0)</f>
        <v>0</v>
      </c>
      <c r="F284" s="16" t="n">
        <f aca="false">F283+E284</f>
        <v>165600</v>
      </c>
      <c r="G284" s="16" t="n">
        <f aca="false">G283*(1+Předpoklady!$B$10)+E284</f>
        <v>391303.315045551</v>
      </c>
    </row>
    <row r="285" customFormat="false" ht="15" hidden="false" customHeight="false" outlineLevel="0" collapsed="false">
      <c r="A285" s="15" t="n">
        <v>284</v>
      </c>
      <c r="B285" s="15" t="n">
        <f aca="false">ROUNDUP(A285/12,0)</f>
        <v>24</v>
      </c>
      <c r="C285" s="14" t="n">
        <f aca="false">Předpoklady!$B$4</f>
        <v>4000</v>
      </c>
      <c r="D285" s="16" t="n">
        <f aca="false">(D284+C285)*(1+Předpoklady!$B$10)</f>
        <v>2816791.36624497</v>
      </c>
      <c r="E285" s="16" t="n">
        <f aca="false">IF(AND(A285&gt;12,MOD(A285,12)=Předpoklady!$B$8),Předpoklady!$B$12,0)</f>
        <v>0</v>
      </c>
      <c r="F285" s="16" t="n">
        <f aca="false">F284+E285</f>
        <v>165600</v>
      </c>
      <c r="G285" s="16" t="n">
        <f aca="false">G284*(1+Předpoklady!$B$10)+E285</f>
        <v>393515.800879392</v>
      </c>
    </row>
    <row r="286" customFormat="false" ht="15" hidden="false" customHeight="false" outlineLevel="0" collapsed="false">
      <c r="A286" s="15" t="n">
        <v>285</v>
      </c>
      <c r="B286" s="15" t="n">
        <f aca="false">ROUNDUP(A286/12,0)</f>
        <v>24</v>
      </c>
      <c r="C286" s="14" t="n">
        <f aca="false">Předpoklady!$B$4</f>
        <v>4000</v>
      </c>
      <c r="D286" s="16" t="n">
        <f aca="false">(D285+C286)*(1+Předpoklady!$B$10)</f>
        <v>2836740.53073725</v>
      </c>
      <c r="E286" s="16" t="n">
        <f aca="false">IF(AND(A286&gt;12,MOD(A286,12)=Předpoklady!$B$8),Předpoklady!$B$12,0)</f>
        <v>0</v>
      </c>
      <c r="F286" s="16" t="n">
        <f aca="false">F285+E286</f>
        <v>165600</v>
      </c>
      <c r="G286" s="16" t="n">
        <f aca="false">G285*(1+Předpoklady!$B$10)+E286</f>
        <v>395740.796429805</v>
      </c>
    </row>
    <row r="287" customFormat="false" ht="15" hidden="false" customHeight="false" outlineLevel="0" collapsed="false">
      <c r="A287" s="15" t="n">
        <v>286</v>
      </c>
      <c r="B287" s="15" t="n">
        <f aca="false">ROUNDUP(A287/12,0)</f>
        <v>24</v>
      </c>
      <c r="C287" s="14" t="n">
        <f aca="false">Předpoklady!$B$4</f>
        <v>4000</v>
      </c>
      <c r="D287" s="16" t="n">
        <f aca="false">(D286+C287)*(1+Předpoklady!$B$10)</f>
        <v>2856802.49070594</v>
      </c>
      <c r="E287" s="16" t="n">
        <f aca="false">IF(AND(A287&gt;12,MOD(A287,12)=Předpoklady!$B$8),Předpoklady!$B$12,0)</f>
        <v>0</v>
      </c>
      <c r="F287" s="16" t="n">
        <f aca="false">F286+E287</f>
        <v>165600</v>
      </c>
      <c r="G287" s="16" t="n">
        <f aca="false">G286*(1+Předpoklady!$B$10)+E287</f>
        <v>397978.372428547</v>
      </c>
    </row>
    <row r="288" customFormat="false" ht="15" hidden="false" customHeight="false" outlineLevel="0" collapsed="false">
      <c r="A288" s="15" t="n">
        <v>287</v>
      </c>
      <c r="B288" s="15" t="n">
        <f aca="false">ROUNDUP(A288/12,0)</f>
        <v>24</v>
      </c>
      <c r="C288" s="14" t="n">
        <f aca="false">Předpoklady!$B$4</f>
        <v>4000</v>
      </c>
      <c r="D288" s="16" t="n">
        <f aca="false">(D287+C288)*(1+Předpoklady!$B$10)</f>
        <v>2876977.88391304</v>
      </c>
      <c r="E288" s="16" t="n">
        <f aca="false">IF(AND(A288&gt;12,MOD(A288,12)=Předpoklady!$B$8),Předpoklady!$B$12,0)</f>
        <v>0</v>
      </c>
      <c r="F288" s="16" t="n">
        <f aca="false">F287+E288</f>
        <v>165600</v>
      </c>
      <c r="G288" s="16" t="n">
        <f aca="false">G287*(1+Předpoklady!$B$10)+E288</f>
        <v>400228.600007301</v>
      </c>
    </row>
    <row r="289" customFormat="false" ht="15" hidden="false" customHeight="false" outlineLevel="0" collapsed="false">
      <c r="A289" s="15" t="n">
        <v>288</v>
      </c>
      <c r="B289" s="15" t="n">
        <f aca="false">ROUNDUP(A289/12,0)</f>
        <v>24</v>
      </c>
      <c r="C289" s="14" t="n">
        <f aca="false">Předpoklady!$B$4</f>
        <v>4000</v>
      </c>
      <c r="D289" s="16" t="n">
        <f aca="false">(D288+C289)*(1+Předpoklady!$B$10)</f>
        <v>2897267.35172658</v>
      </c>
      <c r="E289" s="16" t="n">
        <f aca="false">IF(AND(A289&gt;12,MOD(A289,12)=Předpoklady!$B$8),Předpoklady!$B$12,0)</f>
        <v>0</v>
      </c>
      <c r="F289" s="16" t="n">
        <f aca="false">F288+E289</f>
        <v>165600</v>
      </c>
      <c r="G289" s="16" t="n">
        <f aca="false">G288*(1+Předpoklady!$B$10)+E289</f>
        <v>402491.55069994</v>
      </c>
    </row>
    <row r="290" customFormat="false" ht="15" hidden="false" customHeight="false" outlineLevel="0" collapsed="false">
      <c r="A290" s="15" t="n">
        <v>289</v>
      </c>
      <c r="B290" s="15" t="n">
        <f aca="false">ROUNDUP(A290/12,0)</f>
        <v>25</v>
      </c>
      <c r="C290" s="14" t="n">
        <f aca="false">Předpoklady!$B$4</f>
        <v>4000</v>
      </c>
      <c r="D290" s="16" t="n">
        <f aca="false">(D289+C290)*(1+Předpoklady!$B$10)</f>
        <v>2917671.53914098</v>
      </c>
      <c r="E290" s="16" t="n">
        <f aca="false">IF(AND(A290&gt;12,MOD(A290,12)=Předpoklady!$B$8),Předpoklady!$B$12,0)</f>
        <v>0</v>
      </c>
      <c r="F290" s="16" t="n">
        <f aca="false">F289+E290</f>
        <v>165600</v>
      </c>
      <c r="G290" s="16" t="n">
        <f aca="false">G289*(1+Předpoklady!$B$10)+E290</f>
        <v>404767.2964448</v>
      </c>
    </row>
    <row r="291" customFormat="false" ht="15" hidden="false" customHeight="false" outlineLevel="0" collapsed="false">
      <c r="A291" s="15" t="n">
        <v>290</v>
      </c>
      <c r="B291" s="15" t="n">
        <f aca="false">ROUNDUP(A291/12,0)</f>
        <v>25</v>
      </c>
      <c r="C291" s="14" t="n">
        <f aca="false">Předpoklady!$B$4</f>
        <v>4000</v>
      </c>
      <c r="D291" s="16" t="n">
        <f aca="false">(D290+C291)*(1+Předpoklady!$B$10)</f>
        <v>2938191.09479752</v>
      </c>
      <c r="E291" s="16" t="n">
        <f aca="false">IF(AND(A291&gt;12,MOD(A291,12)=Předpoklady!$B$8),Předpoklady!$B$12,0)</f>
        <v>0</v>
      </c>
      <c r="F291" s="16" t="n">
        <f aca="false">F290+E291</f>
        <v>165600</v>
      </c>
      <c r="G291" s="16" t="n">
        <f aca="false">G290*(1+Předpoklady!$B$10)+E291</f>
        <v>407055.909586965</v>
      </c>
    </row>
    <row r="292" customFormat="false" ht="15" hidden="false" customHeight="false" outlineLevel="0" collapsed="false">
      <c r="A292" s="15" t="n">
        <v>291</v>
      </c>
      <c r="B292" s="15" t="n">
        <f aca="false">ROUNDUP(A292/12,0)</f>
        <v>25</v>
      </c>
      <c r="C292" s="14" t="n">
        <f aca="false">Předpoklady!$B$4</f>
        <v>4000</v>
      </c>
      <c r="D292" s="16" t="n">
        <f aca="false">(D291+C292)*(1+Předpoklady!$B$10)</f>
        <v>2958826.67100504</v>
      </c>
      <c r="E292" s="16" t="n">
        <f aca="false">IF(AND(A292&gt;12,MOD(A292,12)=Předpoklady!$B$8),Předpoklady!$B$12,0)</f>
        <v>0</v>
      </c>
      <c r="F292" s="16" t="n">
        <f aca="false">F291+E292</f>
        <v>165600</v>
      </c>
      <c r="G292" s="16" t="n">
        <f aca="false">G291*(1+Předpoklady!$B$10)+E292</f>
        <v>409357.462880573</v>
      </c>
    </row>
    <row r="293" customFormat="false" ht="15" hidden="false" customHeight="false" outlineLevel="0" collapsed="false">
      <c r="A293" s="15" t="n">
        <v>292</v>
      </c>
      <c r="B293" s="15" t="n">
        <f aca="false">ROUNDUP(A293/12,0)</f>
        <v>25</v>
      </c>
      <c r="C293" s="14" t="n">
        <f aca="false">Předpoklady!$B$4</f>
        <v>4000</v>
      </c>
      <c r="D293" s="16" t="n">
        <f aca="false">(D292+C293)*(1+Předpoklady!$B$10)</f>
        <v>2979578.92376058</v>
      </c>
      <c r="E293" s="16" t="n">
        <f aca="false">IF(AND(A293&gt;12,MOD(A293,12)=Předpoklady!$B$8),Předpoklady!$B$12,0)</f>
        <v>7200</v>
      </c>
      <c r="F293" s="16" t="n">
        <f aca="false">F292+E293</f>
        <v>172800</v>
      </c>
      <c r="G293" s="16" t="n">
        <f aca="false">G292*(1+Předpoklady!$B$10)+E293</f>
        <v>418872.029491119</v>
      </c>
    </row>
    <row r="294" customFormat="false" ht="15" hidden="false" customHeight="false" outlineLevel="0" collapsed="false">
      <c r="A294" s="15" t="n">
        <v>293</v>
      </c>
      <c r="B294" s="15" t="n">
        <f aca="false">ROUNDUP(A294/12,0)</f>
        <v>25</v>
      </c>
      <c r="C294" s="14" t="n">
        <f aca="false">Předpoklady!$B$4</f>
        <v>4000</v>
      </c>
      <c r="D294" s="16" t="n">
        <f aca="false">(D293+C294)*(1+Předpoklady!$B$10)</f>
        <v>3000448.51277032</v>
      </c>
      <c r="E294" s="16" t="n">
        <f aca="false">IF(AND(A294&gt;12,MOD(A294,12)=Předpoklady!$B$8),Předpoklady!$B$12,0)</f>
        <v>0</v>
      </c>
      <c r="F294" s="16" t="n">
        <f aca="false">F293+E294</f>
        <v>172800</v>
      </c>
      <c r="G294" s="16" t="n">
        <f aca="false">G293*(1+Předpoklady!$B$10)+E294</f>
        <v>421240.392844579</v>
      </c>
    </row>
    <row r="295" customFormat="false" ht="15" hidden="false" customHeight="false" outlineLevel="0" collapsed="false">
      <c r="A295" s="15" t="n">
        <v>294</v>
      </c>
      <c r="B295" s="15" t="n">
        <f aca="false">ROUNDUP(A295/12,0)</f>
        <v>25</v>
      </c>
      <c r="C295" s="14" t="n">
        <f aca="false">Předpoklady!$B$4</f>
        <v>4000</v>
      </c>
      <c r="D295" s="16" t="n">
        <f aca="false">(D294+C295)*(1+Předpoklady!$B$10)</f>
        <v>3021436.1014705</v>
      </c>
      <c r="E295" s="16" t="n">
        <f aca="false">IF(AND(A295&gt;12,MOD(A295,12)=Předpoklady!$B$8),Předpoklady!$B$12,0)</f>
        <v>0</v>
      </c>
      <c r="F295" s="16" t="n">
        <f aca="false">F294+E295</f>
        <v>172800</v>
      </c>
      <c r="G295" s="16" t="n">
        <f aca="false">G294*(1+Předpoklady!$B$10)+E295</f>
        <v>423622.14726877</v>
      </c>
    </row>
    <row r="296" customFormat="false" ht="15" hidden="false" customHeight="false" outlineLevel="0" collapsed="false">
      <c r="A296" s="15" t="n">
        <v>295</v>
      </c>
      <c r="B296" s="15" t="n">
        <f aca="false">ROUNDUP(A296/12,0)</f>
        <v>25</v>
      </c>
      <c r="C296" s="14" t="n">
        <f aca="false">Předpoklady!$B$4</f>
        <v>4000</v>
      </c>
      <c r="D296" s="16" t="n">
        <f aca="false">(D295+C296)*(1+Předpoklady!$B$10)</f>
        <v>3042542.35704852</v>
      </c>
      <c r="E296" s="16" t="n">
        <f aca="false">IF(AND(A296&gt;12,MOD(A296,12)=Předpoklady!$B$8),Předpoklady!$B$12,0)</f>
        <v>0</v>
      </c>
      <c r="F296" s="16" t="n">
        <f aca="false">F295+E296</f>
        <v>172800</v>
      </c>
      <c r="G296" s="16" t="n">
        <f aca="false">G295*(1+Předpoklady!$B$10)+E296</f>
        <v>426017.368478752</v>
      </c>
    </row>
    <row r="297" customFormat="false" ht="15" hidden="false" customHeight="false" outlineLevel="0" collapsed="false">
      <c r="A297" s="15" t="n">
        <v>296</v>
      </c>
      <c r="B297" s="15" t="n">
        <f aca="false">ROUNDUP(A297/12,0)</f>
        <v>25</v>
      </c>
      <c r="C297" s="14" t="n">
        <f aca="false">Předpoklady!$B$4</f>
        <v>4000</v>
      </c>
      <c r="D297" s="16" t="n">
        <f aca="false">(D296+C297)*(1+Předpoklady!$B$10)</f>
        <v>3063767.95046416</v>
      </c>
      <c r="E297" s="16" t="n">
        <f aca="false">IF(AND(A297&gt;12,MOD(A297,12)=Předpoklady!$B$8),Předpoklady!$B$12,0)</f>
        <v>0</v>
      </c>
      <c r="F297" s="16" t="n">
        <f aca="false">F296+E297</f>
        <v>172800</v>
      </c>
      <c r="G297" s="16" t="n">
        <f aca="false">G296*(1+Předpoklady!$B$10)+E297</f>
        <v>428426.132617691</v>
      </c>
    </row>
    <row r="298" customFormat="false" ht="15" hidden="false" customHeight="false" outlineLevel="0" collapsed="false">
      <c r="A298" s="15" t="n">
        <v>297</v>
      </c>
      <c r="B298" s="15" t="n">
        <f aca="false">ROUNDUP(A298/12,0)</f>
        <v>25</v>
      </c>
      <c r="C298" s="14" t="n">
        <f aca="false">Předpoklady!$B$4</f>
        <v>4000</v>
      </c>
      <c r="D298" s="16" t="n">
        <f aca="false">(D297+C298)*(1+Předpoklady!$B$10)</f>
        <v>3085113.55647091</v>
      </c>
      <c r="E298" s="16" t="n">
        <f aca="false">IF(AND(A298&gt;12,MOD(A298,12)=Předpoklady!$B$8),Předpoklady!$B$12,0)</f>
        <v>0</v>
      </c>
      <c r="F298" s="16" t="n">
        <f aca="false">F297+E298</f>
        <v>172800</v>
      </c>
      <c r="G298" s="16" t="n">
        <f aca="false">G297*(1+Předpoklady!$B$10)+E298</f>
        <v>430848.516259275</v>
      </c>
    </row>
    <row r="299" customFormat="false" ht="15" hidden="false" customHeight="false" outlineLevel="0" collapsed="false">
      <c r="A299" s="15" t="n">
        <v>298</v>
      </c>
      <c r="B299" s="15" t="n">
        <f aca="false">ROUNDUP(A299/12,0)</f>
        <v>25</v>
      </c>
      <c r="C299" s="14" t="n">
        <f aca="false">Předpoklady!$B$4</f>
        <v>4000</v>
      </c>
      <c r="D299" s="16" t="n">
        <f aca="false">(D298+C299)*(1+Předpoklady!$B$10)</f>
        <v>3106579.8536374</v>
      </c>
      <c r="E299" s="16" t="n">
        <f aca="false">IF(AND(A299&gt;12,MOD(A299,12)=Předpoklady!$B$8),Předpoklady!$B$12,0)</f>
        <v>0</v>
      </c>
      <c r="F299" s="16" t="n">
        <f aca="false">F298+E299</f>
        <v>172800</v>
      </c>
      <c r="G299" s="16" t="n">
        <f aca="false">G298*(1+Předpoklady!$B$10)+E299</f>
        <v>433284.596410153</v>
      </c>
    </row>
    <row r="300" customFormat="false" ht="15" hidden="false" customHeight="false" outlineLevel="0" collapsed="false">
      <c r="A300" s="15" t="n">
        <v>299</v>
      </c>
      <c r="B300" s="15" t="n">
        <f aca="false">ROUNDUP(A300/12,0)</f>
        <v>25</v>
      </c>
      <c r="C300" s="14" t="n">
        <f aca="false">Předpoklady!$B$4</f>
        <v>4000</v>
      </c>
      <c r="D300" s="16" t="n">
        <f aca="false">(D299+C300)*(1+Předpoklady!$B$10)</f>
        <v>3128167.524369</v>
      </c>
      <c r="E300" s="16" t="n">
        <f aca="false">IF(AND(A300&gt;12,MOD(A300,12)=Předpoklady!$B$8),Předpoklady!$B$12,0)</f>
        <v>0</v>
      </c>
      <c r="F300" s="16" t="n">
        <f aca="false">F299+E300</f>
        <v>172800</v>
      </c>
      <c r="G300" s="16" t="n">
        <f aca="false">G299*(1+Předpoklady!$B$10)+E300</f>
        <v>435734.450512379</v>
      </c>
    </row>
    <row r="301" customFormat="false" ht="15" hidden="false" customHeight="false" outlineLevel="0" collapsed="false">
      <c r="A301" s="15" t="n">
        <v>300</v>
      </c>
      <c r="B301" s="15" t="n">
        <f aca="false">ROUNDUP(A301/12,0)</f>
        <v>25</v>
      </c>
      <c r="C301" s="14" t="n">
        <f aca="false">Předpoklady!$B$4</f>
        <v>4000</v>
      </c>
      <c r="D301" s="16" t="n">
        <f aca="false">(D300+C301)*(1+Předpoklady!$B$10)</f>
        <v>3149877.25492949</v>
      </c>
      <c r="E301" s="16" t="n">
        <f aca="false">IF(AND(A301&gt;12,MOD(A301,12)=Předpoklady!$B$8),Předpoklady!$B$12,0)</f>
        <v>0</v>
      </c>
      <c r="F301" s="16" t="n">
        <f aca="false">F300+E301</f>
        <v>172800</v>
      </c>
      <c r="G301" s="16" t="n">
        <f aca="false">G300*(1+Předpoklady!$B$10)+E301</f>
        <v>438198.156445877</v>
      </c>
    </row>
    <row r="302" customFormat="false" ht="15" hidden="false" customHeight="false" outlineLevel="0" collapsed="false">
      <c r="A302" s="15" t="n">
        <v>301</v>
      </c>
      <c r="B302" s="15" t="n">
        <f aca="false">ROUNDUP(A302/12,0)</f>
        <v>26</v>
      </c>
      <c r="C302" s="14" t="n">
        <f aca="false">Předpoklady!$B$4</f>
        <v>4000</v>
      </c>
      <c r="D302" s="16" t="n">
        <f aca="false">(D301+C302)*(1+Předpoklady!$B$10)</f>
        <v>3171709.73546289</v>
      </c>
      <c r="E302" s="16" t="n">
        <f aca="false">IF(AND(A302&gt;12,MOD(A302,12)=Předpoklady!$B$8),Předpoklady!$B$12,0)</f>
        <v>0</v>
      </c>
      <c r="F302" s="16" t="n">
        <f aca="false">F301+E302</f>
        <v>172800</v>
      </c>
      <c r="G302" s="16" t="n">
        <f aca="false">G301*(1+Předpoklady!$B$10)+E302</f>
        <v>440675.792530915</v>
      </c>
    </row>
    <row r="303" customFormat="false" ht="15" hidden="false" customHeight="false" outlineLevel="0" collapsed="false">
      <c r="A303" s="15" t="n">
        <v>302</v>
      </c>
      <c r="B303" s="15" t="n">
        <f aca="false">ROUNDUP(A303/12,0)</f>
        <v>26</v>
      </c>
      <c r="C303" s="14" t="n">
        <f aca="false">Předpoklady!$B$4</f>
        <v>4000</v>
      </c>
      <c r="D303" s="16" t="n">
        <f aca="false">(D302+C303)*(1+Předpoklady!$B$10)</f>
        <v>3193665.66001539</v>
      </c>
      <c r="E303" s="16" t="n">
        <f aca="false">IF(AND(A303&gt;12,MOD(A303,12)=Předpoklady!$B$8),Předpoklady!$B$12,0)</f>
        <v>0</v>
      </c>
      <c r="F303" s="16" t="n">
        <f aca="false">F302+E303</f>
        <v>172800</v>
      </c>
      <c r="G303" s="16" t="n">
        <f aca="false">G302*(1+Předpoklady!$B$10)+E303</f>
        <v>443167.437530595</v>
      </c>
    </row>
    <row r="304" customFormat="false" ht="15" hidden="false" customHeight="false" outlineLevel="0" collapsed="false">
      <c r="A304" s="15" t="n">
        <v>303</v>
      </c>
      <c r="B304" s="15" t="n">
        <f aca="false">ROUNDUP(A304/12,0)</f>
        <v>26</v>
      </c>
      <c r="C304" s="14" t="n">
        <f aca="false">Předpoklady!$B$4</f>
        <v>4000</v>
      </c>
      <c r="D304" s="16" t="n">
        <f aca="false">(D303+C304)*(1+Předpoklady!$B$10)</f>
        <v>3215745.72655743</v>
      </c>
      <c r="E304" s="16" t="n">
        <f aca="false">IF(AND(A304&gt;12,MOD(A304,12)=Předpoklady!$B$8),Předpoklady!$B$12,0)</f>
        <v>0</v>
      </c>
      <c r="F304" s="16" t="n">
        <f aca="false">F303+E304</f>
        <v>172800</v>
      </c>
      <c r="G304" s="16" t="n">
        <f aca="false">G303*(1+Předpoklady!$B$10)+E304</f>
        <v>445673.170653357</v>
      </c>
    </row>
    <row r="305" customFormat="false" ht="15" hidden="false" customHeight="false" outlineLevel="0" collapsed="false">
      <c r="A305" s="15" t="n">
        <v>304</v>
      </c>
      <c r="B305" s="15" t="n">
        <f aca="false">ROUNDUP(A305/12,0)</f>
        <v>26</v>
      </c>
      <c r="C305" s="14" t="n">
        <f aca="false">Předpoklady!$B$4</f>
        <v>4000</v>
      </c>
      <c r="D305" s="16" t="n">
        <f aca="false">(D304+C305)*(1+Předpoklady!$B$10)</f>
        <v>3237950.63700587</v>
      </c>
      <c r="E305" s="16" t="n">
        <f aca="false">IF(AND(A305&gt;12,MOD(A305,12)=Předpoklady!$B$8),Předpoklady!$B$12,0)</f>
        <v>7200</v>
      </c>
      <c r="F305" s="16" t="n">
        <f aca="false">F304+E305</f>
        <v>180000</v>
      </c>
      <c r="G305" s="16" t="n">
        <f aca="false">G304*(1+Předpoklady!$B$10)+E305</f>
        <v>455393.071555497</v>
      </c>
    </row>
    <row r="306" customFormat="false" ht="15" hidden="false" customHeight="false" outlineLevel="0" collapsed="false">
      <c r="A306" s="15" t="n">
        <v>305</v>
      </c>
      <c r="B306" s="15" t="n">
        <f aca="false">ROUNDUP(A306/12,0)</f>
        <v>26</v>
      </c>
      <c r="C306" s="14" t="n">
        <f aca="false">Předpoklady!$B$4</f>
        <v>4000</v>
      </c>
      <c r="D306" s="16" t="n">
        <f aca="false">(D305+C306)*(1+Předpoklady!$B$10)</f>
        <v>3260281.09724629</v>
      </c>
      <c r="E306" s="16" t="n">
        <f aca="false">IF(AND(A306&gt;12,MOD(A306,12)=Předpoklady!$B$8),Předpoklady!$B$12,0)</f>
        <v>0</v>
      </c>
      <c r="F306" s="16" t="n">
        <f aca="false">F305+E306</f>
        <v>180000</v>
      </c>
      <c r="G306" s="16" t="n">
        <f aca="false">G305*(1+Předpoklady!$B$10)+E306</f>
        <v>457967.930190489</v>
      </c>
    </row>
    <row r="307" customFormat="false" ht="15" hidden="false" customHeight="false" outlineLevel="0" collapsed="false">
      <c r="A307" s="15" t="n">
        <v>306</v>
      </c>
      <c r="B307" s="15" t="n">
        <f aca="false">ROUNDUP(A307/12,0)</f>
        <v>26</v>
      </c>
      <c r="C307" s="14" t="n">
        <f aca="false">Předpoklady!$B$4</f>
        <v>4000</v>
      </c>
      <c r="D307" s="16" t="n">
        <f aca="false">(D306+C307)*(1+Předpoklady!$B$10)</f>
        <v>3282737.81715548</v>
      </c>
      <c r="E307" s="16" t="n">
        <f aca="false">IF(AND(A307&gt;12,MOD(A307,12)=Předpoklady!$B$8),Předpoklady!$B$12,0)</f>
        <v>0</v>
      </c>
      <c r="F307" s="16" t="n">
        <f aca="false">F306+E307</f>
        <v>180000</v>
      </c>
      <c r="G307" s="16" t="n">
        <f aca="false">G306*(1+Předpoklady!$B$10)+E307</f>
        <v>460557.347450555</v>
      </c>
    </row>
    <row r="308" customFormat="false" ht="15" hidden="false" customHeight="false" outlineLevel="0" collapsed="false">
      <c r="A308" s="15" t="n">
        <v>307</v>
      </c>
      <c r="B308" s="15" t="n">
        <f aca="false">ROUNDUP(A308/12,0)</f>
        <v>26</v>
      </c>
      <c r="C308" s="14" t="n">
        <f aca="false">Předpoklady!$B$4</f>
        <v>4000</v>
      </c>
      <c r="D308" s="16" t="n">
        <f aca="false">(D307+C308)*(1+Předpoklady!$B$10)</f>
        <v>3305321.51062396</v>
      </c>
      <c r="E308" s="16" t="n">
        <f aca="false">IF(AND(A308&gt;12,MOD(A308,12)=Předpoklady!$B$8),Předpoklady!$B$12,0)</f>
        <v>0</v>
      </c>
      <c r="F308" s="16" t="n">
        <f aca="false">F307+E308</f>
        <v>180000</v>
      </c>
      <c r="G308" s="16" t="n">
        <f aca="false">G307*(1+Předpoklady!$B$10)+E308</f>
        <v>463161.405652278</v>
      </c>
    </row>
    <row r="309" customFormat="false" ht="15" hidden="false" customHeight="false" outlineLevel="0" collapsed="false">
      <c r="A309" s="15" t="n">
        <v>308</v>
      </c>
      <c r="B309" s="15" t="n">
        <f aca="false">ROUNDUP(A309/12,0)</f>
        <v>26</v>
      </c>
      <c r="C309" s="14" t="n">
        <f aca="false">Předpoklady!$B$4</f>
        <v>4000</v>
      </c>
      <c r="D309" s="16" t="n">
        <f aca="false">(D308+C309)*(1+Předpoklady!$B$10)</f>
        <v>3328032.89557869</v>
      </c>
      <c r="E309" s="16" t="n">
        <f aca="false">IF(AND(A309&gt;12,MOD(A309,12)=Předpoklady!$B$8),Předpoklady!$B$12,0)</f>
        <v>0</v>
      </c>
      <c r="F309" s="16" t="n">
        <f aca="false">F308+E309</f>
        <v>180000</v>
      </c>
      <c r="G309" s="16" t="n">
        <f aca="false">G308*(1+Předpoklady!$B$10)+E309</f>
        <v>465780.187577671</v>
      </c>
    </row>
    <row r="310" customFormat="false" ht="15" hidden="false" customHeight="false" outlineLevel="0" collapsed="false">
      <c r="A310" s="15" t="n">
        <v>309</v>
      </c>
      <c r="B310" s="15" t="n">
        <f aca="false">ROUNDUP(A310/12,0)</f>
        <v>26</v>
      </c>
      <c r="C310" s="14" t="n">
        <f aca="false">Předpoklady!$B$4</f>
        <v>4000</v>
      </c>
      <c r="D310" s="16" t="n">
        <f aca="false">(D309+C310)*(1+Předpoklady!$B$10)</f>
        <v>3350872.69400591</v>
      </c>
      <c r="E310" s="16" t="n">
        <f aca="false">IF(AND(A310&gt;12,MOD(A310,12)=Předpoklady!$B$8),Předpoklady!$B$12,0)</f>
        <v>0</v>
      </c>
      <c r="F310" s="16" t="n">
        <f aca="false">F309+E310</f>
        <v>180000</v>
      </c>
      <c r="G310" s="16" t="n">
        <f aca="false">G309*(1+Předpoklady!$B$10)+E310</f>
        <v>468413.776476808</v>
      </c>
    </row>
    <row r="311" customFormat="false" ht="15" hidden="false" customHeight="false" outlineLevel="0" collapsed="false">
      <c r="A311" s="15" t="n">
        <v>310</v>
      </c>
      <c r="B311" s="15" t="n">
        <f aca="false">ROUNDUP(A311/12,0)</f>
        <v>26</v>
      </c>
      <c r="C311" s="14" t="n">
        <f aca="false">Předpoklady!$B$4</f>
        <v>4000</v>
      </c>
      <c r="D311" s="16" t="n">
        <f aca="false">(D310+C311)*(1+Předpoklady!$B$10)</f>
        <v>3373841.63197406</v>
      </c>
      <c r="E311" s="16" t="n">
        <f aca="false">IF(AND(A311&gt;12,MOD(A311,12)=Předpoklady!$B$8),Předpoklady!$B$12,0)</f>
        <v>0</v>
      </c>
      <c r="F311" s="16" t="n">
        <f aca="false">F310+E311</f>
        <v>180000</v>
      </c>
      <c r="G311" s="16" t="n">
        <f aca="false">G310*(1+Předpoklady!$B$10)+E311</f>
        <v>471062.256070471</v>
      </c>
    </row>
    <row r="312" customFormat="false" ht="15" hidden="false" customHeight="false" outlineLevel="0" collapsed="false">
      <c r="A312" s="15" t="n">
        <v>311</v>
      </c>
      <c r="B312" s="15" t="n">
        <f aca="false">ROUNDUP(A312/12,0)</f>
        <v>26</v>
      </c>
      <c r="C312" s="14" t="n">
        <f aca="false">Předpoklady!$B$4</f>
        <v>4000</v>
      </c>
      <c r="D312" s="16" t="n">
        <f aca="false">(D311+C312)*(1+Předpoklady!$B$10)</f>
        <v>3396940.43965687</v>
      </c>
      <c r="E312" s="16" t="n">
        <f aca="false">IF(AND(A312&gt;12,MOD(A312,12)=Předpoklady!$B$8),Předpoklady!$B$12,0)</f>
        <v>0</v>
      </c>
      <c r="F312" s="16" t="n">
        <f aca="false">F311+E312</f>
        <v>180000</v>
      </c>
      <c r="G312" s="16" t="n">
        <f aca="false">G311*(1+Předpoklady!$B$10)+E312</f>
        <v>473725.710552813</v>
      </c>
    </row>
    <row r="313" customFormat="false" ht="15" hidden="false" customHeight="false" outlineLevel="0" collapsed="false">
      <c r="A313" s="15" t="n">
        <v>312</v>
      </c>
      <c r="B313" s="15" t="n">
        <f aca="false">ROUNDUP(A313/12,0)</f>
        <v>26</v>
      </c>
      <c r="C313" s="14" t="n">
        <f aca="false">Předpoklady!$B$4</f>
        <v>4000</v>
      </c>
      <c r="D313" s="16" t="n">
        <f aca="false">(D312+C313)*(1+Předpoklady!$B$10)</f>
        <v>3420169.8513566</v>
      </c>
      <c r="E313" s="16" t="n">
        <f aca="false">IF(AND(A313&gt;12,MOD(A313,12)=Předpoklady!$B$8),Předpoklady!$B$12,0)</f>
        <v>0</v>
      </c>
      <c r="F313" s="16" t="n">
        <f aca="false">F312+E313</f>
        <v>180000</v>
      </c>
      <c r="G313" s="16" t="n">
        <f aca="false">G312*(1+Předpoklady!$B$10)+E313</f>
        <v>476404.224594031</v>
      </c>
    </row>
    <row r="314" customFormat="false" ht="15" hidden="false" customHeight="false" outlineLevel="0" collapsed="false">
      <c r="A314" s="15" t="n">
        <v>313</v>
      </c>
      <c r="B314" s="15" t="n">
        <f aca="false">ROUNDUP(A314/12,0)</f>
        <v>27</v>
      </c>
      <c r="C314" s="14" t="n">
        <f aca="false">Předpoklady!$B$4</f>
        <v>4000</v>
      </c>
      <c r="D314" s="16" t="n">
        <f aca="false">(D313+C314)*(1+Předpoklady!$B$10)</f>
        <v>3443530.60552734</v>
      </c>
      <c r="E314" s="16" t="n">
        <f aca="false">IF(AND(A314&gt;12,MOD(A314,12)=Předpoklady!$B$8),Předpoklady!$B$12,0)</f>
        <v>0</v>
      </c>
      <c r="F314" s="16" t="n">
        <f aca="false">F313+E314</f>
        <v>180000</v>
      </c>
      <c r="G314" s="16" t="n">
        <f aca="false">G313*(1+Předpoklady!$B$10)+E314</f>
        <v>479097.883343059</v>
      </c>
    </row>
    <row r="315" customFormat="false" ht="15" hidden="false" customHeight="false" outlineLevel="0" collapsed="false">
      <c r="A315" s="15" t="n">
        <v>314</v>
      </c>
      <c r="B315" s="15" t="n">
        <f aca="false">ROUNDUP(A315/12,0)</f>
        <v>27</v>
      </c>
      <c r="C315" s="14" t="n">
        <f aca="false">Předpoklady!$B$4</f>
        <v>4000</v>
      </c>
      <c r="D315" s="16" t="n">
        <f aca="false">(D314+C315)*(1+Předpoklady!$B$10)</f>
        <v>3467023.44479852</v>
      </c>
      <c r="E315" s="16" t="n">
        <f aca="false">IF(AND(A315&gt;12,MOD(A315,12)=Předpoklady!$B$8),Předpoklady!$B$12,0)</f>
        <v>0</v>
      </c>
      <c r="F315" s="16" t="n">
        <f aca="false">F314+E315</f>
        <v>180000</v>
      </c>
      <c r="G315" s="16" t="n">
        <f aca="false">G314*(1+Předpoklady!$B$10)+E315</f>
        <v>481806.772430279</v>
      </c>
    </row>
    <row r="316" customFormat="false" ht="15" hidden="false" customHeight="false" outlineLevel="0" collapsed="false">
      <c r="A316" s="15" t="n">
        <v>315</v>
      </c>
      <c r="B316" s="15" t="n">
        <f aca="false">ROUNDUP(A316/12,0)</f>
        <v>27</v>
      </c>
      <c r="C316" s="14" t="n">
        <f aca="false">Předpoklady!$B$4</f>
        <v>4000</v>
      </c>
      <c r="D316" s="16" t="n">
        <f aca="false">(D315+C316)*(1+Předpoklady!$B$10)</f>
        <v>3490649.1159985</v>
      </c>
      <c r="E316" s="16" t="n">
        <f aca="false">IF(AND(A316&gt;12,MOD(A316,12)=Předpoklady!$B$8),Předpoklady!$B$12,0)</f>
        <v>0</v>
      </c>
      <c r="F316" s="16" t="n">
        <f aca="false">F315+E316</f>
        <v>180000</v>
      </c>
      <c r="G316" s="16" t="n">
        <f aca="false">G315*(1+Předpoklady!$B$10)+E316</f>
        <v>484530.977970236</v>
      </c>
    </row>
    <row r="317" customFormat="false" ht="15" hidden="false" customHeight="false" outlineLevel="0" collapsed="false">
      <c r="A317" s="15" t="n">
        <v>316</v>
      </c>
      <c r="B317" s="15" t="n">
        <f aca="false">ROUNDUP(A317/12,0)</f>
        <v>27</v>
      </c>
      <c r="C317" s="14" t="n">
        <f aca="false">Předpoklady!$B$4</f>
        <v>4000</v>
      </c>
      <c r="D317" s="16" t="n">
        <f aca="false">(D316+C317)*(1+Předpoklady!$B$10)</f>
        <v>3514408.37017832</v>
      </c>
      <c r="E317" s="16" t="n">
        <f aca="false">IF(AND(A317&gt;12,MOD(A317,12)=Předpoklady!$B$8),Předpoklady!$B$12,0)</f>
        <v>7200</v>
      </c>
      <c r="F317" s="16" t="n">
        <f aca="false">F316+E317</f>
        <v>187200</v>
      </c>
      <c r="G317" s="16" t="n">
        <f aca="false">G316*(1+Předpoklady!$B$10)+E317</f>
        <v>494470.586564382</v>
      </c>
    </row>
    <row r="318" customFormat="false" ht="15" hidden="false" customHeight="false" outlineLevel="0" collapsed="false">
      <c r="A318" s="15" t="n">
        <v>317</v>
      </c>
      <c r="B318" s="15" t="n">
        <f aca="false">ROUNDUP(A318/12,0)</f>
        <v>27</v>
      </c>
      <c r="C318" s="14" t="n">
        <f aca="false">Předpoklady!$B$4</f>
        <v>4000</v>
      </c>
      <c r="D318" s="16" t="n">
        <f aca="false">(D317+C318)*(1+Předpoklady!$B$10)</f>
        <v>3538301.96263558</v>
      </c>
      <c r="E318" s="16" t="n">
        <f aca="false">IF(AND(A318&gt;12,MOD(A318,12)=Předpoklady!$B$8),Předpoklady!$B$12,0)</f>
        <v>0</v>
      </c>
      <c r="F318" s="16" t="n">
        <f aca="false">F317+E318</f>
        <v>187200</v>
      </c>
      <c r="G318" s="16" t="n">
        <f aca="false">G317*(1+Předpoklady!$B$10)+E318</f>
        <v>497266.395150612</v>
      </c>
    </row>
    <row r="319" customFormat="false" ht="15" hidden="false" customHeight="false" outlineLevel="0" collapsed="false">
      <c r="A319" s="15" t="n">
        <v>318</v>
      </c>
      <c r="B319" s="15" t="n">
        <f aca="false">ROUNDUP(A319/12,0)</f>
        <v>27</v>
      </c>
      <c r="C319" s="14" t="n">
        <f aca="false">Předpoklady!$B$4</f>
        <v>4000</v>
      </c>
      <c r="D319" s="16" t="n">
        <f aca="false">(D318+C319)*(1+Předpoklady!$B$10)</f>
        <v>3562330.65293841</v>
      </c>
      <c r="E319" s="16" t="n">
        <f aca="false">IF(AND(A319&gt;12,MOD(A319,12)=Předpoklady!$B$8),Předpoklady!$B$12,0)</f>
        <v>0</v>
      </c>
      <c r="F319" s="16" t="n">
        <f aca="false">F318+E319</f>
        <v>187200</v>
      </c>
      <c r="G319" s="16" t="n">
        <f aca="false">G318*(1+Předpoklady!$B$10)+E319</f>
        <v>500078.011645065</v>
      </c>
    </row>
    <row r="320" customFormat="false" ht="15" hidden="false" customHeight="false" outlineLevel="0" collapsed="false">
      <c r="A320" s="15" t="n">
        <v>319</v>
      </c>
      <c r="B320" s="15" t="n">
        <f aca="false">ROUNDUP(A320/12,0)</f>
        <v>27</v>
      </c>
      <c r="C320" s="14" t="n">
        <f aca="false">Předpoklady!$B$4</f>
        <v>4000</v>
      </c>
      <c r="D320" s="16" t="n">
        <f aca="false">(D319+C320)*(1+Předpoklady!$B$10)</f>
        <v>3586495.20494968</v>
      </c>
      <c r="E320" s="16" t="n">
        <f aca="false">IF(AND(A320&gt;12,MOD(A320,12)=Předpoklady!$B$8),Předpoklady!$B$12,0)</f>
        <v>0</v>
      </c>
      <c r="F320" s="16" t="n">
        <f aca="false">F319+E320</f>
        <v>187200</v>
      </c>
      <c r="G320" s="16" t="n">
        <f aca="false">G319*(1+Předpoklady!$B$10)+E320</f>
        <v>502905.52542795</v>
      </c>
    </row>
    <row r="321" customFormat="false" ht="15" hidden="false" customHeight="false" outlineLevel="0" collapsed="false">
      <c r="A321" s="15" t="n">
        <v>320</v>
      </c>
      <c r="B321" s="15" t="n">
        <f aca="false">ROUNDUP(A321/12,0)</f>
        <v>27</v>
      </c>
      <c r="C321" s="14" t="n">
        <f aca="false">Předpoklady!$B$4</f>
        <v>4000</v>
      </c>
      <c r="D321" s="16" t="n">
        <f aca="false">(D320+C321)*(1+Předpoklady!$B$10)</f>
        <v>3610796.38685125</v>
      </c>
      <c r="E321" s="16" t="n">
        <f aca="false">IF(AND(A321&gt;12,MOD(A321,12)=Předpoklady!$B$8),Předpoklady!$B$12,0)</f>
        <v>0</v>
      </c>
      <c r="F321" s="16" t="n">
        <f aca="false">F320+E321</f>
        <v>187200</v>
      </c>
      <c r="G321" s="16" t="n">
        <f aca="false">G320*(1+Předpoklady!$B$10)+E321</f>
        <v>505749.02638485</v>
      </c>
    </row>
    <row r="322" customFormat="false" ht="15" hidden="false" customHeight="false" outlineLevel="0" collapsed="false">
      <c r="A322" s="15" t="n">
        <v>321</v>
      </c>
      <c r="B322" s="15" t="n">
        <f aca="false">ROUNDUP(A322/12,0)</f>
        <v>27</v>
      </c>
      <c r="C322" s="14" t="n">
        <f aca="false">Předpoklady!$B$4</f>
        <v>4000</v>
      </c>
      <c r="D322" s="16" t="n">
        <f aca="false">(D321+C322)*(1+Předpoklady!$B$10)</f>
        <v>3635234.97116837</v>
      </c>
      <c r="E322" s="16" t="n">
        <f aca="false">IF(AND(A322&gt;12,MOD(A322,12)=Předpoklady!$B$8),Předpoklady!$B$12,0)</f>
        <v>0</v>
      </c>
      <c r="F322" s="16" t="n">
        <f aca="false">F321+E322</f>
        <v>187200</v>
      </c>
      <c r="G322" s="16" t="n">
        <f aca="false">G321*(1+Předpoklady!$B$10)+E322</f>
        <v>508608.604909568</v>
      </c>
    </row>
    <row r="323" customFormat="false" ht="15" hidden="false" customHeight="false" outlineLevel="0" collapsed="false">
      <c r="A323" s="15" t="n">
        <v>322</v>
      </c>
      <c r="B323" s="15" t="n">
        <f aca="false">ROUNDUP(A323/12,0)</f>
        <v>27</v>
      </c>
      <c r="C323" s="14" t="n">
        <f aca="false">Předpoklady!$B$4</f>
        <v>4000</v>
      </c>
      <c r="D323" s="16" t="n">
        <f aca="false">(D322+C323)*(1+Předpoklady!$B$10)</f>
        <v>3659811.73479429</v>
      </c>
      <c r="E323" s="16" t="n">
        <f aca="false">IF(AND(A323&gt;12,MOD(A323,12)=Předpoklady!$B$8),Předpoklady!$B$12,0)</f>
        <v>0</v>
      </c>
      <c r="F323" s="16" t="n">
        <f aca="false">F322+E323</f>
        <v>187200</v>
      </c>
      <c r="G323" s="16" t="n">
        <f aca="false">G322*(1+Předpoklady!$B$10)+E323</f>
        <v>511484.351907012</v>
      </c>
    </row>
    <row r="324" customFormat="false" ht="15" hidden="false" customHeight="false" outlineLevel="0" collapsed="false">
      <c r="A324" s="15" t="n">
        <v>323</v>
      </c>
      <c r="B324" s="15" t="n">
        <f aca="false">ROUNDUP(A324/12,0)</f>
        <v>27</v>
      </c>
      <c r="C324" s="14" t="n">
        <f aca="false">Předpoklady!$B$4</f>
        <v>4000</v>
      </c>
      <c r="D324" s="16" t="n">
        <f aca="false">(D323+C324)*(1+Předpoklady!$B$10)</f>
        <v>3684527.4590149</v>
      </c>
      <c r="E324" s="16" t="n">
        <f aca="false">IF(AND(A324&gt;12,MOD(A324,12)=Předpoklady!$B$8),Předpoklady!$B$12,0)</f>
        <v>0</v>
      </c>
      <c r="F324" s="16" t="n">
        <f aca="false">F323+E324</f>
        <v>187200</v>
      </c>
      <c r="G324" s="16" t="n">
        <f aca="false">G323*(1+Předpoklady!$B$10)+E324</f>
        <v>514376.358796077</v>
      </c>
    </row>
    <row r="325" customFormat="false" ht="15" hidden="false" customHeight="false" outlineLevel="0" collapsed="false">
      <c r="A325" s="15" t="n">
        <v>324</v>
      </c>
      <c r="B325" s="15" t="n">
        <f aca="false">ROUNDUP(A325/12,0)</f>
        <v>27</v>
      </c>
      <c r="C325" s="14" t="n">
        <f aca="false">Předpoklady!$B$4</f>
        <v>4000</v>
      </c>
      <c r="D325" s="16" t="n">
        <f aca="false">(D324+C325)*(1+Předpoklady!$B$10)</f>
        <v>3709382.9295336</v>
      </c>
      <c r="E325" s="16" t="n">
        <f aca="false">IF(AND(A325&gt;12,MOD(A325,12)=Předpoklady!$B$8),Předpoklady!$B$12,0)</f>
        <v>0</v>
      </c>
      <c r="F325" s="16" t="n">
        <f aca="false">F324+E325</f>
        <v>187200</v>
      </c>
      <c r="G325" s="16" t="n">
        <f aca="false">G324*(1+Předpoklady!$B$10)+E325</f>
        <v>517284.717512554</v>
      </c>
    </row>
    <row r="326" customFormat="false" ht="15" hidden="false" customHeight="false" outlineLevel="0" collapsed="false">
      <c r="A326" s="15" t="n">
        <v>325</v>
      </c>
      <c r="B326" s="15" t="n">
        <f aca="false">ROUNDUP(A326/12,0)</f>
        <v>28</v>
      </c>
      <c r="C326" s="14" t="n">
        <f aca="false">Předpoklady!$B$4</f>
        <v>4000</v>
      </c>
      <c r="D326" s="16" t="n">
        <f aca="false">(D325+C326)*(1+Předpoklady!$B$10)</f>
        <v>3734378.9364963</v>
      </c>
      <c r="E326" s="16" t="n">
        <f aca="false">IF(AND(A326&gt;12,MOD(A326,12)=Předpoklady!$B$8),Předpoklady!$B$12,0)</f>
        <v>0</v>
      </c>
      <c r="F326" s="16" t="n">
        <f aca="false">F325+E326</f>
        <v>187200</v>
      </c>
      <c r="G326" s="16" t="n">
        <f aca="false">G325*(1+Předpoklady!$B$10)+E326</f>
        <v>520209.520512053</v>
      </c>
    </row>
    <row r="327" customFormat="false" ht="15" hidden="false" customHeight="false" outlineLevel="0" collapsed="false">
      <c r="A327" s="15" t="n">
        <v>326</v>
      </c>
      <c r="B327" s="15" t="n">
        <f aca="false">ROUNDUP(A327/12,0)</f>
        <v>28</v>
      </c>
      <c r="C327" s="14" t="n">
        <f aca="false">Předpoklady!$B$4</f>
        <v>4000</v>
      </c>
      <c r="D327" s="16" t="n">
        <f aca="false">(D326+C327)*(1+Předpoklady!$B$10)</f>
        <v>3759516.27451646</v>
      </c>
      <c r="E327" s="16" t="n">
        <f aca="false">IF(AND(A327&gt;12,MOD(A327,12)=Předpoklady!$B$8),Předpoklady!$B$12,0)</f>
        <v>0</v>
      </c>
      <c r="F327" s="16" t="n">
        <f aca="false">F326+E327</f>
        <v>187200</v>
      </c>
      <c r="G327" s="16" t="n">
        <f aca="false">G326*(1+Předpoklady!$B$10)+E327</f>
        <v>523150.860772941</v>
      </c>
    </row>
    <row r="328" customFormat="false" ht="15" hidden="false" customHeight="false" outlineLevel="0" collapsed="false">
      <c r="A328" s="15" t="n">
        <v>327</v>
      </c>
      <c r="B328" s="15" t="n">
        <f aca="false">ROUNDUP(A328/12,0)</f>
        <v>28</v>
      </c>
      <c r="C328" s="14" t="n">
        <f aca="false">Předpoklady!$B$4</f>
        <v>4000</v>
      </c>
      <c r="D328" s="16" t="n">
        <f aca="false">(D327+C328)*(1+Předpoklady!$B$10)</f>
        <v>3784795.74270044</v>
      </c>
      <c r="E328" s="16" t="n">
        <f aca="false">IF(AND(A328&gt;12,MOD(A328,12)=Předpoklady!$B$8),Předpoklady!$B$12,0)</f>
        <v>0</v>
      </c>
      <c r="F328" s="16" t="n">
        <f aca="false">F327+E328</f>
        <v>187200</v>
      </c>
      <c r="G328" s="16" t="n">
        <f aca="false">G327*(1+Předpoklady!$B$10)+E328</f>
        <v>526108.831799297</v>
      </c>
    </row>
    <row r="329" customFormat="false" ht="15" hidden="false" customHeight="false" outlineLevel="0" collapsed="false">
      <c r="A329" s="15" t="n">
        <v>328</v>
      </c>
      <c r="B329" s="15" t="n">
        <f aca="false">ROUNDUP(A329/12,0)</f>
        <v>28</v>
      </c>
      <c r="C329" s="14" t="n">
        <f aca="false">Předpoklady!$B$4</f>
        <v>4000</v>
      </c>
      <c r="D329" s="16" t="n">
        <f aca="false">(D328+C329)*(1+Předpoklady!$B$10)</f>
        <v>3810218.14467285</v>
      </c>
      <c r="E329" s="16" t="n">
        <f aca="false">IF(AND(A329&gt;12,MOD(A329,12)=Předpoklady!$B$8),Předpoklady!$B$12,0)</f>
        <v>7200</v>
      </c>
      <c r="F329" s="16" t="n">
        <f aca="false">F328+E329</f>
        <v>194400</v>
      </c>
      <c r="G329" s="16" t="n">
        <f aca="false">G328*(1+Předpoklady!$B$10)+E329</f>
        <v>536283.527623888</v>
      </c>
    </row>
    <row r="330" customFormat="false" ht="15" hidden="false" customHeight="false" outlineLevel="0" collapsed="false">
      <c r="A330" s="15" t="n">
        <v>329</v>
      </c>
      <c r="B330" s="15" t="n">
        <f aca="false">ROUNDUP(A330/12,0)</f>
        <v>28</v>
      </c>
      <c r="C330" s="14" t="n">
        <f aca="false">Předpoklady!$B$4</f>
        <v>4000</v>
      </c>
      <c r="D330" s="16" t="n">
        <f aca="false">(D329+C330)*(1+Předpoklady!$B$10)</f>
        <v>3835784.28860211</v>
      </c>
      <c r="E330" s="16" t="n">
        <f aca="false">IF(AND(A330&gt;12,MOD(A330,12)=Předpoklady!$B$8),Předpoklady!$B$12,0)</f>
        <v>0</v>
      </c>
      <c r="F330" s="16" t="n">
        <f aca="false">F329+E330</f>
        <v>194400</v>
      </c>
      <c r="G330" s="16" t="n">
        <f aca="false">G329*(1+Předpoklady!$B$10)+E330</f>
        <v>539315.752657944</v>
      </c>
    </row>
    <row r="331" customFormat="false" ht="15" hidden="false" customHeight="false" outlineLevel="0" collapsed="false">
      <c r="A331" s="15" t="n">
        <v>330</v>
      </c>
      <c r="B331" s="15" t="n">
        <f aca="false">ROUNDUP(A331/12,0)</f>
        <v>28</v>
      </c>
      <c r="C331" s="14" t="n">
        <f aca="false">Předpoklady!$B$4</f>
        <v>4000</v>
      </c>
      <c r="D331" s="16" t="n">
        <f aca="false">(D330+C331)*(1+Předpoklady!$B$10)</f>
        <v>3861494.98722614</v>
      </c>
      <c r="E331" s="16" t="n">
        <f aca="false">IF(AND(A331&gt;12,MOD(A331,12)=Předpoklady!$B$8),Předpoklady!$B$12,0)</f>
        <v>0</v>
      </c>
      <c r="F331" s="16" t="n">
        <f aca="false">F330+E331</f>
        <v>194400</v>
      </c>
      <c r="G331" s="16" t="n">
        <f aca="false">G330*(1+Předpoklady!$B$10)+E331</f>
        <v>542365.12233319</v>
      </c>
    </row>
    <row r="332" customFormat="false" ht="15" hidden="false" customHeight="false" outlineLevel="0" collapsed="false">
      <c r="A332" s="15" t="n">
        <v>331</v>
      </c>
      <c r="B332" s="15" t="n">
        <f aca="false">ROUNDUP(A332/12,0)</f>
        <v>28</v>
      </c>
      <c r="C332" s="14" t="n">
        <f aca="false">Předpoklady!$B$4</f>
        <v>4000</v>
      </c>
      <c r="D332" s="16" t="n">
        <f aca="false">(D331+C332)*(1+Předpoklady!$B$10)</f>
        <v>3887351.0578782</v>
      </c>
      <c r="E332" s="16" t="n">
        <f aca="false">IF(AND(A332&gt;12,MOD(A332,12)=Předpoklady!$B$8),Předpoklady!$B$12,0)</f>
        <v>0</v>
      </c>
      <c r="F332" s="16" t="n">
        <f aca="false">F331+E332</f>
        <v>194400</v>
      </c>
      <c r="G332" s="16" t="n">
        <f aca="false">G331*(1+Předpoklady!$B$10)+E332</f>
        <v>545431.73358792</v>
      </c>
    </row>
    <row r="333" customFormat="false" ht="15" hidden="false" customHeight="false" outlineLevel="0" collapsed="false">
      <c r="A333" s="15" t="n">
        <v>332</v>
      </c>
      <c r="B333" s="15" t="n">
        <f aca="false">ROUNDUP(A333/12,0)</f>
        <v>28</v>
      </c>
      <c r="C333" s="14" t="n">
        <f aca="false">Předpoklady!$B$4</f>
        <v>4000</v>
      </c>
      <c r="D333" s="16" t="n">
        <f aca="false">(D332+C333)*(1+Předpoklady!$B$10)</f>
        <v>3913353.32251288</v>
      </c>
      <c r="E333" s="16" t="n">
        <f aca="false">IF(AND(A333&gt;12,MOD(A333,12)=Předpoklady!$B$8),Předpoklady!$B$12,0)</f>
        <v>0</v>
      </c>
      <c r="F333" s="16" t="n">
        <f aca="false">F332+E333</f>
        <v>194400</v>
      </c>
      <c r="G333" s="16" t="n">
        <f aca="false">G332*(1+Předpoklady!$B$10)+E333</f>
        <v>548515.683908531</v>
      </c>
    </row>
    <row r="334" customFormat="false" ht="15" hidden="false" customHeight="false" outlineLevel="0" collapsed="false">
      <c r="A334" s="15" t="n">
        <v>333</v>
      </c>
      <c r="B334" s="15" t="n">
        <f aca="false">ROUNDUP(A334/12,0)</f>
        <v>28</v>
      </c>
      <c r="C334" s="14" t="n">
        <f aca="false">Předpoklady!$B$4</f>
        <v>4000</v>
      </c>
      <c r="D334" s="16" t="n">
        <f aca="false">(D333+C334)*(1+Předpoklady!$B$10)</f>
        <v>3939502.6077322</v>
      </c>
      <c r="E334" s="16" t="n">
        <f aca="false">IF(AND(A334&gt;12,MOD(A334,12)=Předpoklady!$B$8),Předpoklady!$B$12,0)</f>
        <v>0</v>
      </c>
      <c r="F334" s="16" t="n">
        <f aca="false">F333+E334</f>
        <v>194400</v>
      </c>
      <c r="G334" s="16" t="n">
        <f aca="false">G333*(1+Předpoklady!$B$10)+E334</f>
        <v>551617.071332621</v>
      </c>
    </row>
    <row r="335" customFormat="false" ht="15" hidden="false" customHeight="false" outlineLevel="0" collapsed="false">
      <c r="A335" s="15" t="n">
        <v>334</v>
      </c>
      <c r="B335" s="15" t="n">
        <f aca="false">ROUNDUP(A335/12,0)</f>
        <v>28</v>
      </c>
      <c r="C335" s="14" t="n">
        <f aca="false">Předpoklady!$B$4</f>
        <v>4000</v>
      </c>
      <c r="D335" s="16" t="n">
        <f aca="false">(D334+C335)*(1+Předpoklady!$B$10)</f>
        <v>3965799.74481193</v>
      </c>
      <c r="E335" s="16" t="n">
        <f aca="false">IF(AND(A335&gt;12,MOD(A335,12)=Předpoklady!$B$8),Předpoklady!$B$12,0)</f>
        <v>0</v>
      </c>
      <c r="F335" s="16" t="n">
        <f aca="false">F334+E335</f>
        <v>194400</v>
      </c>
      <c r="G335" s="16" t="n">
        <f aca="false">G334*(1+Předpoklady!$B$10)+E335</f>
        <v>554735.994452111</v>
      </c>
    </row>
    <row r="336" customFormat="false" ht="15" hidden="false" customHeight="false" outlineLevel="0" collapsed="false">
      <c r="A336" s="15" t="n">
        <v>335</v>
      </c>
      <c r="B336" s="15" t="n">
        <f aca="false">ROUNDUP(A336/12,0)</f>
        <v>28</v>
      </c>
      <c r="C336" s="14" t="n">
        <f aca="false">Předpoklady!$B$4</f>
        <v>4000</v>
      </c>
      <c r="D336" s="16" t="n">
        <f aca="false">(D335+C336)*(1+Předpoklady!$B$10)</f>
        <v>3992245.56972798</v>
      </c>
      <c r="E336" s="16" t="n">
        <f aca="false">IF(AND(A336&gt;12,MOD(A336,12)=Předpoklady!$B$8),Předpoklady!$B$12,0)</f>
        <v>0</v>
      </c>
      <c r="F336" s="16" t="n">
        <f aca="false">F335+E336</f>
        <v>194400</v>
      </c>
      <c r="G336" s="16" t="n">
        <f aca="false">G335*(1+Předpoklady!$B$10)+E336</f>
        <v>557872.55241637</v>
      </c>
    </row>
    <row r="337" customFormat="false" ht="15" hidden="false" customHeight="false" outlineLevel="0" collapsed="false">
      <c r="A337" s="15" t="n">
        <v>336</v>
      </c>
      <c r="B337" s="15" t="n">
        <f aca="false">ROUNDUP(A337/12,0)</f>
        <v>28</v>
      </c>
      <c r="C337" s="14" t="n">
        <f aca="false">Předpoklady!$B$4</f>
        <v>4000</v>
      </c>
      <c r="D337" s="16" t="n">
        <f aca="false">(D336+C337)*(1+Předpoklady!$B$10)</f>
        <v>4018840.923183</v>
      </c>
      <c r="E337" s="16" t="n">
        <f aca="false">IF(AND(A337&gt;12,MOD(A337,12)=Předpoklady!$B$8),Předpoklady!$B$12,0)</f>
        <v>0</v>
      </c>
      <c r="F337" s="16" t="n">
        <f aca="false">F336+E337</f>
        <v>194400</v>
      </c>
      <c r="G337" s="16" t="n">
        <f aca="false">G336*(1+Předpoklady!$B$10)+E337</f>
        <v>561026.844935375</v>
      </c>
    </row>
    <row r="338" customFormat="false" ht="15" hidden="false" customHeight="false" outlineLevel="0" collapsed="false">
      <c r="A338" s="15" t="n">
        <v>337</v>
      </c>
      <c r="B338" s="15" t="n">
        <f aca="false">ROUNDUP(A338/12,0)</f>
        <v>29</v>
      </c>
      <c r="C338" s="14" t="n">
        <f aca="false">Předpoklady!$B$4</f>
        <v>4000</v>
      </c>
      <c r="D338" s="16" t="n">
        <f aca="false">(D337+C338)*(1+Předpoklady!$B$10)</f>
        <v>4045586.65063308</v>
      </c>
      <c r="E338" s="16" t="n">
        <f aca="false">IF(AND(A338&gt;12,MOD(A338,12)=Předpoklady!$B$8),Předpoklady!$B$12,0)</f>
        <v>0</v>
      </c>
      <c r="F338" s="16" t="n">
        <f aca="false">F337+E338</f>
        <v>194400</v>
      </c>
      <c r="G338" s="16" t="n">
        <f aca="false">G337*(1+Předpoklady!$B$10)+E338</f>
        <v>564198.972282877</v>
      </c>
    </row>
    <row r="339" customFormat="false" ht="15" hidden="false" customHeight="false" outlineLevel="0" collapsed="false">
      <c r="A339" s="15" t="n">
        <v>338</v>
      </c>
      <c r="B339" s="15" t="n">
        <f aca="false">ROUNDUP(A339/12,0)</f>
        <v>29</v>
      </c>
      <c r="C339" s="14" t="n">
        <f aca="false">Předpoklady!$B$4</f>
        <v>4000</v>
      </c>
      <c r="D339" s="16" t="n">
        <f aca="false">(D338+C339)*(1+Předpoklady!$B$10)</f>
        <v>4072483.60231466</v>
      </c>
      <c r="E339" s="16" t="n">
        <f aca="false">IF(AND(A339&gt;12,MOD(A339,12)=Předpoklady!$B$8),Předpoklady!$B$12,0)</f>
        <v>0</v>
      </c>
      <c r="F339" s="16" t="n">
        <f aca="false">F338+E339</f>
        <v>194400</v>
      </c>
      <c r="G339" s="16" t="n">
        <f aca="false">G338*(1+Předpoklady!$B$10)+E339</f>
        <v>567389.035299589</v>
      </c>
    </row>
    <row r="340" customFormat="false" ht="15" hidden="false" customHeight="false" outlineLevel="0" collapsed="false">
      <c r="A340" s="15" t="n">
        <v>339</v>
      </c>
      <c r="B340" s="15" t="n">
        <f aca="false">ROUNDUP(A340/12,0)</f>
        <v>29</v>
      </c>
      <c r="C340" s="14" t="n">
        <f aca="false">Předpoklady!$B$4</f>
        <v>4000</v>
      </c>
      <c r="D340" s="16" t="n">
        <f aca="false">(D339+C340)*(1+Předpoklady!$B$10)</f>
        <v>4099532.63327152</v>
      </c>
      <c r="E340" s="16" t="n">
        <f aca="false">IF(AND(A340&gt;12,MOD(A340,12)=Předpoklady!$B$8),Předpoklady!$B$12,0)</f>
        <v>0</v>
      </c>
      <c r="F340" s="16" t="n">
        <f aca="false">F339+E340</f>
        <v>194400</v>
      </c>
      <c r="G340" s="16" t="n">
        <f aca="false">G339*(1+Předpoklady!$B$10)+E340</f>
        <v>570597.135396392</v>
      </c>
    </row>
    <row r="341" customFormat="false" ht="15" hidden="false" customHeight="false" outlineLevel="0" collapsed="false">
      <c r="A341" s="15" t="n">
        <v>340</v>
      </c>
      <c r="B341" s="15" t="n">
        <f aca="false">ROUNDUP(A341/12,0)</f>
        <v>29</v>
      </c>
      <c r="C341" s="14" t="n">
        <f aca="false">Předpoklady!$B$4</f>
        <v>4000</v>
      </c>
      <c r="D341" s="16" t="n">
        <f aca="false">(D340+C341)*(1+Předpoklady!$B$10)</f>
        <v>4126734.603382</v>
      </c>
      <c r="E341" s="16" t="n">
        <f aca="false">IF(AND(A341&gt;12,MOD(A341,12)=Předpoklady!$B$8),Předpoklady!$B$12,0)</f>
        <v>7200</v>
      </c>
      <c r="F341" s="16" t="n">
        <f aca="false">F340+E341</f>
        <v>201600</v>
      </c>
      <c r="G341" s="16" t="n">
        <f aca="false">G340*(1+Předpoklady!$B$10)+E341</f>
        <v>581023.37455756</v>
      </c>
    </row>
    <row r="342" customFormat="false" ht="15" hidden="false" customHeight="false" outlineLevel="0" collapsed="false">
      <c r="A342" s="15" t="n">
        <v>341</v>
      </c>
      <c r="B342" s="15" t="n">
        <f aca="false">ROUNDUP(A342/12,0)</f>
        <v>29</v>
      </c>
      <c r="C342" s="14" t="n">
        <f aca="false">Předpoklady!$B$4</f>
        <v>4000</v>
      </c>
      <c r="D342" s="16" t="n">
        <f aca="false">(D341+C342)*(1+Předpoklady!$B$10)</f>
        <v>4154090.3773863</v>
      </c>
      <c r="E342" s="16" t="n">
        <f aca="false">IF(AND(A342&gt;12,MOD(A342,12)=Předpoklady!$B$8),Předpoklady!$B$12,0)</f>
        <v>0</v>
      </c>
      <c r="F342" s="16" t="n">
        <f aca="false">F341+E342</f>
        <v>201600</v>
      </c>
      <c r="G342" s="16" t="n">
        <f aca="false">G341*(1+Předpoklady!$B$10)+E342</f>
        <v>584308.56519079</v>
      </c>
    </row>
    <row r="343" customFormat="false" ht="15" hidden="false" customHeight="false" outlineLevel="0" collapsed="false">
      <c r="A343" s="15" t="n">
        <v>342</v>
      </c>
      <c r="B343" s="15" t="n">
        <f aca="false">ROUNDUP(A343/12,0)</f>
        <v>29</v>
      </c>
      <c r="C343" s="14" t="n">
        <f aca="false">Předpoklady!$B$4</f>
        <v>4000</v>
      </c>
      <c r="D343" s="16" t="n">
        <f aca="false">(D342+C343)*(1+Předpoklady!$B$10)</f>
        <v>4181600.82491402</v>
      </c>
      <c r="E343" s="16" t="n">
        <f aca="false">IF(AND(A343&gt;12,MOD(A343,12)=Předpoklady!$B$8),Předpoklady!$B$12,0)</f>
        <v>0</v>
      </c>
      <c r="F343" s="16" t="n">
        <f aca="false">F342+E343</f>
        <v>201600</v>
      </c>
      <c r="G343" s="16" t="n">
        <f aca="false">G342*(1+Předpoklady!$B$10)+E343</f>
        <v>587612.330769485</v>
      </c>
    </row>
    <row r="344" customFormat="false" ht="15" hidden="false" customHeight="false" outlineLevel="0" collapsed="false">
      <c r="A344" s="15" t="n">
        <v>343</v>
      </c>
      <c r="B344" s="15" t="n">
        <f aca="false">ROUNDUP(A344/12,0)</f>
        <v>29</v>
      </c>
      <c r="C344" s="14" t="n">
        <f aca="false">Předpoklady!$B$4</f>
        <v>4000</v>
      </c>
      <c r="D344" s="16" t="n">
        <f aca="false">(D343+C344)*(1+Předpoklady!$B$10)</f>
        <v>4209266.82051172</v>
      </c>
      <c r="E344" s="16" t="n">
        <f aca="false">IF(AND(A344&gt;12,MOD(A344,12)=Předpoklady!$B$8),Předpoklady!$B$12,0)</f>
        <v>0</v>
      </c>
      <c r="F344" s="16" t="n">
        <f aca="false">F343+E344</f>
        <v>201600</v>
      </c>
      <c r="G344" s="16" t="n">
        <f aca="false">G343*(1+Předpoklady!$B$10)+E344</f>
        <v>590934.776319087</v>
      </c>
    </row>
    <row r="345" customFormat="false" ht="15" hidden="false" customHeight="false" outlineLevel="0" collapsed="false">
      <c r="A345" s="15" t="n">
        <v>344</v>
      </c>
      <c r="B345" s="15" t="n">
        <f aca="false">ROUNDUP(A345/12,0)</f>
        <v>29</v>
      </c>
      <c r="C345" s="14" t="n">
        <f aca="false">Předpoklady!$B$4</f>
        <v>4000</v>
      </c>
      <c r="D345" s="16" t="n">
        <f aca="false">(D344+C345)*(1+Předpoklady!$B$10)</f>
        <v>4237089.24367083</v>
      </c>
      <c r="E345" s="16" t="n">
        <f aca="false">IF(AND(A345&gt;12,MOD(A345,12)=Předpoklady!$B$8),Předpoklady!$B$12,0)</f>
        <v>0</v>
      </c>
      <c r="F345" s="16" t="n">
        <f aca="false">F344+E345</f>
        <v>201600</v>
      </c>
      <c r="G345" s="16" t="n">
        <f aca="false">G344*(1+Předpoklady!$B$10)+E345</f>
        <v>594276.007458869</v>
      </c>
    </row>
    <row r="346" customFormat="false" ht="15" hidden="false" customHeight="false" outlineLevel="0" collapsed="false">
      <c r="A346" s="15" t="n">
        <v>345</v>
      </c>
      <c r="B346" s="15" t="n">
        <f aca="false">ROUNDUP(A346/12,0)</f>
        <v>29</v>
      </c>
      <c r="C346" s="14" t="n">
        <f aca="false">Předpoklady!$B$4</f>
        <v>4000</v>
      </c>
      <c r="D346" s="16" t="n">
        <f aca="false">(D345+C346)*(1+Předpoklady!$B$10)</f>
        <v>4265068.9788555</v>
      </c>
      <c r="E346" s="16" t="n">
        <f aca="false">IF(AND(A346&gt;12,MOD(A346,12)=Předpoklady!$B$8),Předpoklady!$B$12,0)</f>
        <v>0</v>
      </c>
      <c r="F346" s="16" t="n">
        <f aca="false">F345+E346</f>
        <v>201600</v>
      </c>
      <c r="G346" s="16" t="n">
        <f aca="false">G345*(1+Předpoklady!$B$10)+E346</f>
        <v>597636.130405288</v>
      </c>
    </row>
    <row r="347" customFormat="false" ht="15" hidden="false" customHeight="false" outlineLevel="0" collapsed="false">
      <c r="A347" s="15" t="n">
        <v>346</v>
      </c>
      <c r="B347" s="15" t="n">
        <f aca="false">ROUNDUP(A347/12,0)</f>
        <v>29</v>
      </c>
      <c r="C347" s="14" t="n">
        <f aca="false">Předpoklady!$B$4</f>
        <v>4000</v>
      </c>
      <c r="D347" s="16" t="n">
        <f aca="false">(D346+C347)*(1+Předpoklady!$B$10)</f>
        <v>4293206.91553081</v>
      </c>
      <c r="E347" s="16" t="n">
        <f aca="false">IF(AND(A347&gt;12,MOD(A347,12)=Předpoklady!$B$8),Předpoklady!$B$12,0)</f>
        <v>0</v>
      </c>
      <c r="F347" s="16" t="n">
        <f aca="false">F346+E347</f>
        <v>201600</v>
      </c>
      <c r="G347" s="16" t="n">
        <f aca="false">G346*(1+Předpoklady!$B$10)+E347</f>
        <v>601015.251975366</v>
      </c>
    </row>
    <row r="348" customFormat="false" ht="15" hidden="false" customHeight="false" outlineLevel="0" collapsed="false">
      <c r="A348" s="15" t="n">
        <v>347</v>
      </c>
      <c r="B348" s="15" t="n">
        <f aca="false">ROUNDUP(A348/12,0)</f>
        <v>29</v>
      </c>
      <c r="C348" s="14" t="n">
        <f aca="false">Předpoklady!$B$4</f>
        <v>4000</v>
      </c>
      <c r="D348" s="16" t="n">
        <f aca="false">(D347+C348)*(1+Předpoklady!$B$10)</f>
        <v>4321503.94819099</v>
      </c>
      <c r="E348" s="16" t="n">
        <f aca="false">IF(AND(A348&gt;12,MOD(A348,12)=Předpoklady!$B$8),Předpoklady!$B$12,0)</f>
        <v>0</v>
      </c>
      <c r="F348" s="16" t="n">
        <f aca="false">F347+E348</f>
        <v>201600</v>
      </c>
      <c r="G348" s="16" t="n">
        <f aca="false">G347*(1+Předpoklady!$B$10)+E348</f>
        <v>604413.479590083</v>
      </c>
    </row>
    <row r="349" customFormat="false" ht="15" hidden="false" customHeight="false" outlineLevel="0" collapsed="false">
      <c r="A349" s="15" t="n">
        <v>348</v>
      </c>
      <c r="B349" s="15" t="n">
        <f aca="false">ROUNDUP(A349/12,0)</f>
        <v>29</v>
      </c>
      <c r="C349" s="14" t="n">
        <f aca="false">Předpoklady!$B$4</f>
        <v>4000</v>
      </c>
      <c r="D349" s="16" t="n">
        <f aca="false">(D348+C349)*(1+Předpoklady!$B$10)</f>
        <v>4349960.97638786</v>
      </c>
      <c r="E349" s="16" t="n">
        <f aca="false">IF(AND(A349&gt;12,MOD(A349,12)=Předpoklady!$B$8),Předpoklady!$B$12,0)</f>
        <v>0</v>
      </c>
      <c r="F349" s="16" t="n">
        <f aca="false">F348+E349</f>
        <v>201600</v>
      </c>
      <c r="G349" s="16" t="n">
        <f aca="false">G348*(1+Předpoklady!$B$10)+E349</f>
        <v>607830.921277793</v>
      </c>
    </row>
    <row r="350" customFormat="false" ht="15" hidden="false" customHeight="false" outlineLevel="0" collapsed="false">
      <c r="A350" s="15" t="n">
        <v>349</v>
      </c>
      <c r="B350" s="15" t="n">
        <f aca="false">ROUNDUP(A350/12,0)</f>
        <v>30</v>
      </c>
      <c r="C350" s="14" t="n">
        <f aca="false">Předpoklady!$B$4</f>
        <v>4000</v>
      </c>
      <c r="D350" s="16" t="n">
        <f aca="false">(D349+C350)*(1+Předpoklady!$B$10)</f>
        <v>4378578.90475944</v>
      </c>
      <c r="E350" s="16" t="n">
        <f aca="false">IF(AND(A350&gt;12,MOD(A350,12)=Předpoklady!$B$8),Předpoklady!$B$12,0)</f>
        <v>0</v>
      </c>
      <c r="F350" s="16" t="n">
        <f aca="false">F349+E350</f>
        <v>201600</v>
      </c>
      <c r="G350" s="16" t="n">
        <f aca="false">G349*(1+Předpoklady!$B$10)+E350</f>
        <v>611267.685677658</v>
      </c>
    </row>
    <row r="351" customFormat="false" ht="15" hidden="false" customHeight="false" outlineLevel="0" collapsed="false">
      <c r="A351" s="15" t="n">
        <v>350</v>
      </c>
      <c r="B351" s="15" t="n">
        <f aca="false">ROUNDUP(A351/12,0)</f>
        <v>30</v>
      </c>
      <c r="C351" s="14" t="n">
        <f aca="false">Předpoklady!$B$4</f>
        <v>4000</v>
      </c>
      <c r="D351" s="16" t="n">
        <f aca="false">(D350+C351)*(1+Předpoklady!$B$10)</f>
        <v>4407358.64305873</v>
      </c>
      <c r="E351" s="16" t="n">
        <f aca="false">IF(AND(A351&gt;12,MOD(A351,12)=Předpoklady!$B$8),Předpoklady!$B$12,0)</f>
        <v>0</v>
      </c>
      <c r="F351" s="16" t="n">
        <f aca="false">F350+E351</f>
        <v>201600</v>
      </c>
      <c r="G351" s="16" t="n">
        <f aca="false">G350*(1+Předpoklady!$B$10)+E351</f>
        <v>614723.882043102</v>
      </c>
    </row>
    <row r="352" customFormat="false" ht="15" hidden="false" customHeight="false" outlineLevel="0" collapsed="false">
      <c r="A352" s="15" t="n">
        <v>351</v>
      </c>
      <c r="B352" s="15" t="n">
        <f aca="false">ROUNDUP(A352/12,0)</f>
        <v>30</v>
      </c>
      <c r="C352" s="14" t="n">
        <f aca="false">Předpoklady!$B$4</f>
        <v>4000</v>
      </c>
      <c r="D352" s="16" t="n">
        <f aca="false">(D351+C352)*(1+Předpoklady!$B$10)</f>
        <v>4436301.10618257</v>
      </c>
      <c r="E352" s="16" t="n">
        <f aca="false">IF(AND(A352&gt;12,MOD(A352,12)=Předpoklady!$B$8),Předpoklady!$B$12,0)</f>
        <v>0</v>
      </c>
      <c r="F352" s="16" t="n">
        <f aca="false">F351+E352</f>
        <v>201600</v>
      </c>
      <c r="G352" s="16" t="n">
        <f aca="false">G351*(1+Předpoklady!$B$10)+E352</f>
        <v>618199.620245284</v>
      </c>
    </row>
    <row r="353" customFormat="false" ht="15" hidden="false" customHeight="false" outlineLevel="0" collapsed="false">
      <c r="A353" s="15" t="n">
        <v>352</v>
      </c>
      <c r="B353" s="15" t="n">
        <f aca="false">ROUNDUP(A353/12,0)</f>
        <v>30</v>
      </c>
      <c r="C353" s="14" t="n">
        <f aca="false">Předpoklady!$B$4</f>
        <v>4000</v>
      </c>
      <c r="D353" s="16" t="n">
        <f aca="false">(D352+C353)*(1+Předpoklady!$B$10)</f>
        <v>4465407.21420078</v>
      </c>
      <c r="E353" s="16" t="n">
        <f aca="false">IF(AND(A353&gt;12,MOD(A353,12)=Předpoklady!$B$8),Předpoklady!$B$12,0)</f>
        <v>7200</v>
      </c>
      <c r="F353" s="16" t="n">
        <f aca="false">F352+E353</f>
        <v>208800</v>
      </c>
      <c r="G353" s="16" t="n">
        <f aca="false">G352*(1+Předpoklady!$B$10)+E353</f>
        <v>628895.01077659</v>
      </c>
    </row>
    <row r="354" customFormat="false" ht="15" hidden="false" customHeight="false" outlineLevel="0" collapsed="false">
      <c r="A354" s="15" t="n">
        <v>353</v>
      </c>
      <c r="B354" s="15" t="n">
        <f aca="false">ROUNDUP(A354/12,0)</f>
        <v>30</v>
      </c>
      <c r="C354" s="14" t="n">
        <f aca="false">Předpoklady!$B$4</f>
        <v>4000</v>
      </c>
      <c r="D354" s="16" t="n">
        <f aca="false">(D353+C354)*(1+Předpoklady!$B$10)</f>
        <v>4494677.89238539</v>
      </c>
      <c r="E354" s="16" t="n">
        <f aca="false">IF(AND(A354&gt;12,MOD(A354,12)=Předpoklady!$B$8),Předpoklady!$B$12,0)</f>
        <v>0</v>
      </c>
      <c r="F354" s="16" t="n">
        <f aca="false">F353+E354</f>
        <v>208800</v>
      </c>
      <c r="G354" s="16" t="n">
        <f aca="false">G353*(1+Předpoklady!$B$10)+E354</f>
        <v>632450.874600934</v>
      </c>
    </row>
    <row r="355" customFormat="false" ht="15" hidden="false" customHeight="false" outlineLevel="0" collapsed="false">
      <c r="A355" s="15" t="n">
        <v>354</v>
      </c>
      <c r="B355" s="15" t="n">
        <f aca="false">ROUNDUP(A355/12,0)</f>
        <v>30</v>
      </c>
      <c r="C355" s="14" t="n">
        <f aca="false">Předpoklady!$B$4</f>
        <v>4000</v>
      </c>
      <c r="D355" s="16" t="n">
        <f aca="false">(D354+C355)*(1+Předpoklady!$B$10)</f>
        <v>4524114.07124004</v>
      </c>
      <c r="E355" s="16" t="n">
        <f aca="false">IF(AND(A355&gt;12,MOD(A355,12)=Předpoklady!$B$8),Předpoklady!$B$12,0)</f>
        <v>0</v>
      </c>
      <c r="F355" s="16" t="n">
        <f aca="false">F354+E355</f>
        <v>208800</v>
      </c>
      <c r="G355" s="16" t="n">
        <f aca="false">G354*(1+Předpoklady!$B$10)+E355</f>
        <v>636026.84379632</v>
      </c>
    </row>
    <row r="356" customFormat="false" ht="15" hidden="false" customHeight="false" outlineLevel="0" collapsed="false">
      <c r="A356" s="15" t="n">
        <v>355</v>
      </c>
      <c r="B356" s="15" t="n">
        <f aca="false">ROUNDUP(A356/12,0)</f>
        <v>30</v>
      </c>
      <c r="C356" s="14" t="n">
        <f aca="false">Předpoklady!$B$4</f>
        <v>4000</v>
      </c>
      <c r="D356" s="16" t="n">
        <f aca="false">(D355+C356)*(1+Předpoklady!$B$10)</f>
        <v>4553716.68652959</v>
      </c>
      <c r="E356" s="16" t="n">
        <f aca="false">IF(AND(A356&gt;12,MOD(A356,12)=Předpoklady!$B$8),Předpoklady!$B$12,0)</f>
        <v>0</v>
      </c>
      <c r="F356" s="16" t="n">
        <f aca="false">F355+E356</f>
        <v>208800</v>
      </c>
      <c r="G356" s="16" t="n">
        <f aca="false">G355*(1+Předpoklady!$B$10)+E356</f>
        <v>639623.032041437</v>
      </c>
    </row>
    <row r="357" customFormat="false" ht="15" hidden="false" customHeight="false" outlineLevel="0" collapsed="false">
      <c r="A357" s="15" t="n">
        <v>356</v>
      </c>
      <c r="B357" s="15" t="n">
        <f aca="false">ROUNDUP(A357/12,0)</f>
        <v>30</v>
      </c>
      <c r="C357" s="14" t="n">
        <f aca="false">Předpoklady!$B$4</f>
        <v>4000</v>
      </c>
      <c r="D357" s="16" t="n">
        <f aca="false">(D356+C357)*(1+Předpoklady!$B$10)</f>
        <v>4583486.67930983</v>
      </c>
      <c r="E357" s="16" t="n">
        <f aca="false">IF(AND(A357&gt;12,MOD(A357,12)=Předpoklady!$B$8),Předpoklady!$B$12,0)</f>
        <v>0</v>
      </c>
      <c r="F357" s="16" t="n">
        <f aca="false">F356+E357</f>
        <v>208800</v>
      </c>
      <c r="G357" s="16" t="n">
        <f aca="false">G356*(1+Předpoklady!$B$10)+E357</f>
        <v>643239.553657732</v>
      </c>
    </row>
    <row r="358" customFormat="false" ht="15" hidden="false" customHeight="false" outlineLevel="0" collapsed="false">
      <c r="A358" s="15" t="n">
        <v>357</v>
      </c>
      <c r="B358" s="15" t="n">
        <f aca="false">ROUNDUP(A358/12,0)</f>
        <v>30</v>
      </c>
      <c r="C358" s="14" t="n">
        <f aca="false">Předpoklady!$B$4</f>
        <v>4000</v>
      </c>
      <c r="D358" s="16" t="n">
        <f aca="false">(D357+C358)*(1+Předpoklady!$B$10)</f>
        <v>4613424.99595743</v>
      </c>
      <c r="E358" s="16" t="n">
        <f aca="false">IF(AND(A358&gt;12,MOD(A358,12)=Předpoklady!$B$8),Předpoklady!$B$12,0)</f>
        <v>0</v>
      </c>
      <c r="F358" s="16" t="n">
        <f aca="false">F357+E358</f>
        <v>208800</v>
      </c>
      <c r="G358" s="16" t="n">
        <f aca="false">G357*(1+Předpoklady!$B$10)+E358</f>
        <v>646876.523613042</v>
      </c>
    </row>
    <row r="359" customFormat="false" ht="15" hidden="false" customHeight="false" outlineLevel="0" collapsed="false">
      <c r="A359" s="15" t="n">
        <v>358</v>
      </c>
      <c r="B359" s="15" t="n">
        <f aca="false">ROUNDUP(A359/12,0)</f>
        <v>30</v>
      </c>
      <c r="C359" s="14" t="n">
        <f aca="false">Předpoklady!$B$4</f>
        <v>4000</v>
      </c>
      <c r="D359" s="16" t="n">
        <f aca="false">(D358+C359)*(1+Předpoklady!$B$10)</f>
        <v>4643532.58820002</v>
      </c>
      <c r="E359" s="16" t="n">
        <f aca="false">IF(AND(A359&gt;12,MOD(A359,12)=Předpoklady!$B$8),Předpoklady!$B$12,0)</f>
        <v>0</v>
      </c>
      <c r="F359" s="16" t="n">
        <f aca="false">F358+E359</f>
        <v>208800</v>
      </c>
      <c r="G359" s="16" t="n">
        <f aca="false">G358*(1+Předpoklady!$B$10)+E359</f>
        <v>650534.05752525</v>
      </c>
    </row>
    <row r="360" customFormat="false" ht="15" hidden="false" customHeight="false" outlineLevel="0" collapsed="false">
      <c r="A360" s="15" t="n">
        <v>359</v>
      </c>
      <c r="B360" s="15" t="n">
        <f aca="false">ROUNDUP(A360/12,0)</f>
        <v>30</v>
      </c>
      <c r="C360" s="14" t="n">
        <f aca="false">Předpoklady!$B$4</f>
        <v>4000</v>
      </c>
      <c r="D360" s="16" t="n">
        <f aca="false">(D359+C360)*(1+Předpoklady!$B$10)</f>
        <v>4673810.4131464</v>
      </c>
      <c r="E360" s="16" t="n">
        <f aca="false">IF(AND(A360&gt;12,MOD(A360,12)=Předpoklady!$B$8),Předpoklady!$B$12,0)</f>
        <v>0</v>
      </c>
      <c r="F360" s="16" t="n">
        <f aca="false">F359+E360</f>
        <v>208800</v>
      </c>
      <c r="G360" s="16" t="n">
        <f aca="false">G359*(1+Předpoklady!$B$10)+E360</f>
        <v>654212.271665956</v>
      </c>
    </row>
    <row r="361" customFormat="false" ht="15" hidden="false" customHeight="false" outlineLevel="0" collapsed="false">
      <c r="A361" s="15" t="n">
        <v>360</v>
      </c>
      <c r="B361" s="15" t="n">
        <f aca="false">ROUNDUP(A361/12,0)</f>
        <v>30</v>
      </c>
      <c r="C361" s="14" t="n">
        <f aca="false">Předpoklady!$B$4</f>
        <v>4000</v>
      </c>
      <c r="D361" s="16" t="n">
        <f aca="false">(D360+C361)*(1+Předpoklady!$B$10)</f>
        <v>4704259.43331705</v>
      </c>
      <c r="E361" s="16" t="n">
        <f aca="false">IF(AND(A361&gt;12,MOD(A361,12)=Předpoklady!$B$8),Předpoklady!$B$12,0)</f>
        <v>0</v>
      </c>
      <c r="F361" s="16" t="n">
        <f aca="false">F360+E361</f>
        <v>208800</v>
      </c>
      <c r="G361" s="16" t="n">
        <f aca="false">G360*(1+Předpoklady!$B$10)+E361</f>
        <v>657911.28296418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42" hidden="false" customHeight="true" outlineLevel="0" collapsed="false">
      <c r="A1" s="12" t="s">
        <v>37</v>
      </c>
      <c r="B1" s="12" t="s">
        <v>36</v>
      </c>
      <c r="C1" s="12" t="s">
        <v>31</v>
      </c>
      <c r="D1" s="12" t="s">
        <v>18</v>
      </c>
      <c r="E1" s="12" t="s">
        <v>20</v>
      </c>
      <c r="F1" s="12" t="s">
        <v>22</v>
      </c>
      <c r="G1" s="12" t="s">
        <v>32</v>
      </c>
      <c r="H1" s="12" t="s">
        <v>33</v>
      </c>
    </row>
    <row r="2" customFormat="false" ht="15" hidden="false" customHeight="false" outlineLevel="0" collapsed="false">
      <c r="A2" s="15" t="n">
        <v>0</v>
      </c>
      <c r="B2" s="15" t="n">
        <f aca="false">A2*12</f>
        <v>0</v>
      </c>
      <c r="C2" s="16" t="n">
        <f aca="false">B2*Předpoklady!$B$4</f>
        <v>0</v>
      </c>
      <c r="D2" s="16" t="n">
        <f aca="false">IF(A2=0,0,INDEX(Měsíce!$D$2:$D$361,B2))</f>
        <v>0</v>
      </c>
      <c r="E2" s="16" t="n">
        <f aca="false">IF(A2=0,0,D2+INDEX(Měsíce!$F$2:$F$361,B2)+Předpoklady!$B$12)</f>
        <v>0</v>
      </c>
      <c r="F2" s="16" t="n">
        <f aca="false">IF(A2=0,0,D2+INDEX(Měsíce!$G$2:$G$361,B2)+Předpoklady!$B$12)</f>
        <v>0</v>
      </c>
      <c r="G2" s="16" t="n">
        <f aca="false">E2-D2</f>
        <v>0</v>
      </c>
      <c r="H2" s="16" t="n">
        <f aca="false">F2-D2</f>
        <v>0</v>
      </c>
    </row>
    <row r="3" customFormat="false" ht="15" hidden="false" customHeight="false" outlineLevel="0" collapsed="false">
      <c r="A3" s="15" t="n">
        <v>1</v>
      </c>
      <c r="B3" s="15" t="n">
        <f aca="false">A3*12</f>
        <v>12</v>
      </c>
      <c r="C3" s="16" t="n">
        <f aca="false">B3*Předpoklady!$B$4</f>
        <v>48000</v>
      </c>
      <c r="D3" s="16" t="n">
        <f aca="false">IF(A3=0,0,INDEX(Měsíce!$D$2:$D$361,B3))</f>
        <v>49801.1885820456</v>
      </c>
      <c r="E3" s="16" t="n">
        <f aca="false">IF(A3=0,0,D3+INDEX(Měsíce!$F$2:$F$361,B3)+Předpoklady!$B$12)</f>
        <v>57001.1885820456</v>
      </c>
      <c r="F3" s="16" t="n">
        <f aca="false">IF(A3=0,0,D3+INDEX(Měsíce!$G$2:$G$361,B3)+Předpoklady!$B$12)</f>
        <v>57001.1885820456</v>
      </c>
      <c r="G3" s="16" t="n">
        <f aca="false">E3-D3</f>
        <v>7200</v>
      </c>
      <c r="H3" s="16" t="n">
        <f aca="false">F3-D3</f>
        <v>7200</v>
      </c>
    </row>
    <row r="4" customFormat="false" ht="15" hidden="false" customHeight="false" outlineLevel="0" collapsed="false">
      <c r="A4" s="15" t="n">
        <v>2</v>
      </c>
      <c r="B4" s="15" t="n">
        <f aca="false">A4*12</f>
        <v>24</v>
      </c>
      <c r="C4" s="16" t="n">
        <f aca="false">B4*Předpoklady!$B$4</f>
        <v>96000</v>
      </c>
      <c r="D4" s="16" t="n">
        <f aca="false">IF(A4=0,0,INDEX(Měsíce!$D$2:$D$361,B4))</f>
        <v>103088.460364834</v>
      </c>
      <c r="E4" s="16" t="n">
        <f aca="false">IF(A4=0,0,D4+INDEX(Měsíce!$F$2:$F$361,B4)+Předpoklady!$B$12)</f>
        <v>117488.460364834</v>
      </c>
      <c r="F4" s="16" t="n">
        <f aca="false">IF(A4=0,0,D4+INDEX(Měsíce!$G$2:$G$361,B4)+Předpoklady!$B$12)</f>
        <v>117820.657561776</v>
      </c>
      <c r="G4" s="16" t="n">
        <f aca="false">E4-D4</f>
        <v>14400</v>
      </c>
      <c r="H4" s="16" t="n">
        <f aca="false">F4-D4</f>
        <v>14732.1971969418</v>
      </c>
    </row>
    <row r="5" customFormat="false" ht="15" hidden="false" customHeight="false" outlineLevel="0" collapsed="false">
      <c r="A5" s="15" t="n">
        <v>3</v>
      </c>
      <c r="B5" s="15" t="n">
        <f aca="false">A5*12</f>
        <v>36</v>
      </c>
      <c r="C5" s="16" t="n">
        <f aca="false">B5*Předpoklady!$B$4</f>
        <v>144000</v>
      </c>
      <c r="D5" s="16" t="n">
        <f aca="false">IF(A5=0,0,INDEX(Měsíce!$D$2:$D$361,B5))</f>
        <v>160105.841172418</v>
      </c>
      <c r="E5" s="16" t="n">
        <f aca="false">IF(A5=0,0,D5+INDEX(Měsíce!$F$2:$F$361,B5)+Předpoklady!$B$12)</f>
        <v>181705.841172418</v>
      </c>
      <c r="F5" s="16" t="n">
        <f aca="false">IF(A5=0,0,D5+INDEX(Měsíce!$G$2:$G$361,B5)+Předpoklady!$B$12)</f>
        <v>182897.489370088</v>
      </c>
      <c r="G5" s="16" t="n">
        <f aca="false">E5-D5</f>
        <v>21600</v>
      </c>
      <c r="H5" s="16" t="n">
        <f aca="false">F5-D5</f>
        <v>22791.6481976695</v>
      </c>
    </row>
    <row r="6" customFormat="false" ht="15" hidden="false" customHeight="false" outlineLevel="0" collapsed="false">
      <c r="A6" s="15" t="n">
        <v>4</v>
      </c>
      <c r="B6" s="15" t="n">
        <f aca="false">A6*12</f>
        <v>48</v>
      </c>
      <c r="C6" s="16" t="n">
        <f aca="false">B6*Předpoklady!$B$4</f>
        <v>192000</v>
      </c>
      <c r="D6" s="16" t="n">
        <f aca="false">IF(A6=0,0,INDEX(Měsíce!$D$2:$D$361,B6))</f>
        <v>221114.438636533</v>
      </c>
      <c r="E6" s="16" t="n">
        <f aca="false">IF(A6=0,0,D6+INDEX(Měsíce!$F$2:$F$361,B6)+Předpoklady!$B$12)</f>
        <v>249914.438636533</v>
      </c>
      <c r="F6" s="16" t="n">
        <f aca="false">IF(A6=0,0,D6+INDEX(Měsíce!$G$2:$G$361,B6)+Předpoklady!$B$12)</f>
        <v>252529.699404981</v>
      </c>
      <c r="G6" s="16" t="n">
        <f aca="false">E6-D6</f>
        <v>28800</v>
      </c>
      <c r="H6" s="16" t="n">
        <f aca="false">F6-D6</f>
        <v>31415.2607684481</v>
      </c>
    </row>
    <row r="7" customFormat="false" ht="15" hidden="false" customHeight="false" outlineLevel="0" collapsed="false">
      <c r="A7" s="15" t="n">
        <v>5</v>
      </c>
      <c r="B7" s="15" t="n">
        <f aca="false">A7*12</f>
        <v>60</v>
      </c>
      <c r="C7" s="16" t="n">
        <f aca="false">B7*Předpoklady!$B$4</f>
        <v>240000</v>
      </c>
      <c r="D7" s="16" t="n">
        <f aca="false">IF(A7=0,0,INDEX(Měsíce!$D$2:$D$361,B7))</f>
        <v>286393.637923136</v>
      </c>
      <c r="E7" s="16" t="n">
        <f aca="false">IF(A7=0,0,D7+INDEX(Měsíce!$F$2:$F$361,B7)+Předpoklady!$B$12)</f>
        <v>322393.637923136</v>
      </c>
      <c r="F7" s="16" t="n">
        <f aca="false">IF(A7=0,0,D7+INDEX(Měsíce!$G$2:$G$361,B7)+Předpoklady!$B$12)</f>
        <v>327036.164142318</v>
      </c>
      <c r="G7" s="16" t="n">
        <f aca="false">E7-D7</f>
        <v>36000</v>
      </c>
      <c r="H7" s="16" t="n">
        <f aca="false">F7-D7</f>
        <v>40642.5262191813</v>
      </c>
    </row>
    <row r="8" customFormat="false" ht="15" hidden="false" customHeight="false" outlineLevel="0" collapsed="false">
      <c r="A8" s="15" t="n">
        <v>6</v>
      </c>
      <c r="B8" s="15" t="n">
        <f aca="false">A8*12</f>
        <v>72</v>
      </c>
      <c r="C8" s="16" t="n">
        <f aca="false">B8*Předpoklady!$B$4</f>
        <v>288000</v>
      </c>
      <c r="D8" s="16" t="n">
        <f aca="false">IF(A8=0,0,INDEX(Měsíce!$D$2:$D$361,B8))</f>
        <v>356242.381159801</v>
      </c>
      <c r="E8" s="16" t="n">
        <f aca="false">IF(A8=0,0,D8+INDEX(Měsíce!$F$2:$F$361,B8)+Předpoklady!$B$12)</f>
        <v>399442.381159801</v>
      </c>
      <c r="F8" s="16" t="n">
        <f aca="false">IF(A8=0,0,D8+INDEX(Měsíce!$G$2:$G$361,B8)+Předpoklady!$B$12)</f>
        <v>406758.081411267</v>
      </c>
      <c r="G8" s="16" t="n">
        <f aca="false">E8-D8</f>
        <v>43200</v>
      </c>
      <c r="H8" s="16" t="n">
        <f aca="false">F8-D8</f>
        <v>50515.7002514657</v>
      </c>
    </row>
    <row r="9" customFormat="false" ht="15" hidden="false" customHeight="false" outlineLevel="0" collapsed="false">
      <c r="A9" s="15" t="n">
        <v>7</v>
      </c>
      <c r="B9" s="15" t="n">
        <f aca="false">A9*12</f>
        <v>84</v>
      </c>
      <c r="C9" s="16" t="n">
        <f aca="false">B9*Předpoklady!$B$4</f>
        <v>336000</v>
      </c>
      <c r="D9" s="16" t="n">
        <f aca="false">IF(A9=0,0,INDEX(Měsíce!$D$2:$D$361,B9))</f>
        <v>430980.536423033</v>
      </c>
      <c r="E9" s="16" t="n">
        <f aca="false">IF(A9=0,0,D9+INDEX(Měsíce!$F$2:$F$361,B9)+Předpoklady!$B$12)</f>
        <v>481380.536423033</v>
      </c>
      <c r="F9" s="16" t="n">
        <f aca="false">IF(A9=0,0,D9+INDEX(Měsíce!$G$2:$G$361,B9)+Předpoklady!$B$12)</f>
        <v>492060.532889043</v>
      </c>
      <c r="G9" s="16" t="n">
        <f aca="false">E9-D9</f>
        <v>50400</v>
      </c>
      <c r="H9" s="16" t="n">
        <f aca="false">F9-D9</f>
        <v>61079.9964660101</v>
      </c>
    </row>
    <row r="10" customFormat="false" ht="15" hidden="false" customHeight="false" outlineLevel="0" collapsed="false">
      <c r="A10" s="15" t="n">
        <v>8</v>
      </c>
      <c r="B10" s="15" t="n">
        <f aca="false">A10*12</f>
        <v>96</v>
      </c>
      <c r="C10" s="16" t="n">
        <f aca="false">B10*Předpoklady!$B$4</f>
        <v>384000</v>
      </c>
      <c r="D10" s="16" t="n">
        <f aca="false">IF(A10=0,0,INDEX(Měsíce!$D$2:$D$361,B10))</f>
        <v>510950.362554691</v>
      </c>
      <c r="E10" s="16" t="n">
        <f aca="false">IF(A10=0,0,D10+INDEX(Měsíce!$F$2:$F$361,B10)+Předpoklady!$B$12)</f>
        <v>568550.362554691</v>
      </c>
      <c r="F10" s="16" t="n">
        <f aca="false">IF(A10=0,0,D10+INDEX(Měsíce!$G$2:$G$361,B10)+Předpoklady!$B$12)</f>
        <v>583334.155970263</v>
      </c>
      <c r="G10" s="16" t="n">
        <f aca="false">E10-D10</f>
        <v>57600</v>
      </c>
      <c r="H10" s="16" t="n">
        <f aca="false">F10-D10</f>
        <v>72383.7934155726</v>
      </c>
    </row>
    <row r="11" customFormat="false" ht="15" hidden="false" customHeight="false" outlineLevel="0" collapsed="false">
      <c r="A11" s="15" t="n">
        <v>9</v>
      </c>
      <c r="B11" s="15" t="n">
        <f aca="false">A11*12</f>
        <v>108</v>
      </c>
      <c r="C11" s="16" t="n">
        <f aca="false">B11*Předpoklady!$B$4</f>
        <v>432000</v>
      </c>
      <c r="D11" s="16" t="n">
        <f aca="false">IF(A11=0,0,INDEX(Měsíce!$D$2:$D$361,B11))</f>
        <v>596518.076515565</v>
      </c>
      <c r="E11" s="16" t="n">
        <f aca="false">IF(A11=0,0,D11+INDEX(Měsíce!$F$2:$F$361,B11)+Předpoklady!$B$12)</f>
        <v>661318.076515565</v>
      </c>
      <c r="F11" s="16" t="n">
        <f aca="false">IF(A11=0,0,D11+INDEX(Měsíce!$G$2:$G$361,B11)+Předpoklady!$B$12)</f>
        <v>680996.932667169</v>
      </c>
      <c r="G11" s="16" t="n">
        <f aca="false">E11-D11</f>
        <v>64800</v>
      </c>
      <c r="H11" s="16" t="n">
        <f aca="false">F11-D11</f>
        <v>84478.8561516044</v>
      </c>
    </row>
    <row r="12" customFormat="false" ht="15" hidden="false" customHeight="false" outlineLevel="0" collapsed="false">
      <c r="A12" s="15" t="n">
        <v>10</v>
      </c>
      <c r="B12" s="15" t="n">
        <f aca="false">A12*12</f>
        <v>120</v>
      </c>
      <c r="C12" s="16" t="n">
        <f aca="false">B12*Předpoklady!$B$4</f>
        <v>480000</v>
      </c>
      <c r="D12" s="16" t="n">
        <f aca="false">IF(A12=0,0,INDEX(Měsíce!$D$2:$D$361,B12))</f>
        <v>688075.5304537</v>
      </c>
      <c r="E12" s="16" t="n">
        <f aca="false">IF(A12=0,0,D12+INDEX(Měsíce!$F$2:$F$361,B12)+Předpoklady!$B$12)</f>
        <v>760075.5304537</v>
      </c>
      <c r="F12" s="16" t="n">
        <f aca="false">IF(A12=0,0,D12+INDEX(Měsíce!$G$2:$G$361,B12)+Předpoklady!$B$12)</f>
        <v>785496.103732858</v>
      </c>
      <c r="G12" s="16" t="n">
        <f aca="false">E12-D12</f>
        <v>72000</v>
      </c>
      <c r="H12" s="16" t="n">
        <f aca="false">F12-D12</f>
        <v>97420.5732791586</v>
      </c>
    </row>
    <row r="13" customFormat="false" ht="15" hidden="false" customHeight="false" outlineLevel="0" collapsed="false">
      <c r="A13" s="15" t="n">
        <v>11</v>
      </c>
      <c r="B13" s="15" t="n">
        <f aca="false">A13*12</f>
        <v>132</v>
      </c>
      <c r="C13" s="16" t="n">
        <f aca="false">B13*Předpoklady!$B$4</f>
        <v>528000</v>
      </c>
      <c r="D13" s="16" t="n">
        <f aca="false">IF(A13=0,0,INDEX(Měsíce!$D$2:$D$361,B13))</f>
        <v>786042.006167504</v>
      </c>
      <c r="E13" s="16" t="n">
        <f aca="false">IF(A13=0,0,D13+INDEX(Měsíce!$F$2:$F$361,B13)+Předpoklady!$B$12)</f>
        <v>865242.006167504</v>
      </c>
      <c r="F13" s="16" t="n">
        <f aca="false">IF(A13=0,0,D13+INDEX(Měsíce!$G$2:$G$361,B13)+Předpoklady!$B$12)</f>
        <v>897310.216773146</v>
      </c>
      <c r="G13" s="16" t="n">
        <f aca="false">E13-D13</f>
        <v>79200</v>
      </c>
      <c r="H13" s="16" t="n">
        <f aca="false">F13-D13</f>
        <v>111268.210605641</v>
      </c>
    </row>
    <row r="14" customFormat="false" ht="15" hidden="false" customHeight="false" outlineLevel="0" collapsed="false">
      <c r="A14" s="15" t="n">
        <v>12</v>
      </c>
      <c r="B14" s="15" t="n">
        <f aca="false">A14*12</f>
        <v>144</v>
      </c>
      <c r="C14" s="16" t="n">
        <f aca="false">B14*Předpoklady!$B$4</f>
        <v>576000</v>
      </c>
      <c r="D14" s="16" t="n">
        <f aca="false">IF(A14=0,0,INDEX(Měsíce!$D$2:$D$361,B14))</f>
        <v>890866.135181275</v>
      </c>
      <c r="E14" s="16" t="n">
        <f aca="false">IF(A14=0,0,D14+INDEX(Měsíce!$F$2:$F$361,B14)+Předpoklady!$B$12)</f>
        <v>977266.135181275</v>
      </c>
      <c r="F14" s="16" t="n">
        <f aca="false">IF(A14=0,0,D14+INDEX(Měsíce!$G$2:$G$361,B14)+Předpoklady!$B$12)</f>
        <v>1016951.31772625</v>
      </c>
      <c r="G14" s="16" t="n">
        <f aca="false">E14-D14</f>
        <v>86400</v>
      </c>
      <c r="H14" s="16" t="n">
        <f aca="false">F14-D14</f>
        <v>126085.182544978</v>
      </c>
    </row>
    <row r="15" customFormat="false" ht="15" hidden="false" customHeight="false" outlineLevel="0" collapsed="false">
      <c r="A15" s="15" t="n">
        <v>13</v>
      </c>
      <c r="B15" s="15" t="n">
        <f aca="false">A15*12</f>
        <v>156</v>
      </c>
      <c r="C15" s="16" t="n">
        <f aca="false">B15*Předpoklady!$B$4</f>
        <v>624000</v>
      </c>
      <c r="D15" s="16" t="n">
        <f aca="false">IF(A15=0,0,INDEX(Měsíce!$D$2:$D$361,B15))</f>
        <v>1003027.95322601</v>
      </c>
      <c r="E15" s="16" t="n">
        <f aca="false">IF(A15=0,0,D15+INDEX(Měsíce!$F$2:$F$361,B15)+Předpoklady!$B$12)</f>
        <v>1096627.95322601</v>
      </c>
      <c r="F15" s="16" t="n">
        <f aca="false">IF(A15=0,0,D15+INDEX(Měsíce!$G$2:$G$361,B15)+Předpoklady!$B$12)</f>
        <v>1144967.29574608</v>
      </c>
      <c r="G15" s="16" t="n">
        <f aca="false">E15-D15</f>
        <v>93600.0000000001</v>
      </c>
      <c r="H15" s="16" t="n">
        <f aca="false">F15-D15</f>
        <v>141939.342520068</v>
      </c>
    </row>
    <row r="16" customFormat="false" ht="15" hidden="false" customHeight="false" outlineLevel="0" collapsed="false">
      <c r="A16" s="15" t="n">
        <v>14</v>
      </c>
      <c r="B16" s="15" t="n">
        <f aca="false">A16*12</f>
        <v>168</v>
      </c>
      <c r="C16" s="16" t="n">
        <f aca="false">B16*Předpoklady!$B$4</f>
        <v>672000</v>
      </c>
      <c r="D16" s="16" t="n">
        <f aca="false">IF(A16=0,0,INDEX(Měsíce!$D$2:$D$361,B16))</f>
        <v>1123041.09853388</v>
      </c>
      <c r="E16" s="16" t="n">
        <f aca="false">IF(A16=0,0,D16+INDEX(Měsíce!$F$2:$F$361,B16)+Předpoklady!$B$12)</f>
        <v>1223841.09853388</v>
      </c>
      <c r="F16" s="16" t="n">
        <f aca="false">IF(A16=0,0,D16+INDEX(Měsíce!$G$2:$G$361,B16)+Předpoklady!$B$12)</f>
        <v>1281944.39222729</v>
      </c>
      <c r="G16" s="16" t="n">
        <f aca="false">E16-D16</f>
        <v>100800</v>
      </c>
      <c r="H16" s="16" t="n">
        <f aca="false">F16-D16</f>
        <v>158903.293693415</v>
      </c>
    </row>
    <row r="17" customFormat="false" ht="15" hidden="false" customHeight="false" outlineLevel="0" collapsed="false">
      <c r="A17" s="15" t="n">
        <v>15</v>
      </c>
      <c r="B17" s="15" t="n">
        <f aca="false">A17*12</f>
        <v>180</v>
      </c>
      <c r="C17" s="16" t="n">
        <f aca="false">B17*Předpoklady!$B$4</f>
        <v>720000</v>
      </c>
      <c r="D17" s="16" t="n">
        <f aca="false">IF(A17=0,0,INDEX(Měsíce!$D$2:$D$361,B17))</f>
        <v>1251455.16401329</v>
      </c>
      <c r="E17" s="16" t="n">
        <f aca="false">IF(A17=0,0,D17+INDEX(Měsíce!$F$2:$F$361,B17)+Předpoklady!$B$12)</f>
        <v>1359455.16401329</v>
      </c>
      <c r="F17" s="16" t="n">
        <f aca="false">IF(A17=0,0,D17+INDEX(Měsíce!$G$2:$G$361,B17)+Předpoklady!$B$12)</f>
        <v>1428509.88546219</v>
      </c>
      <c r="G17" s="16" t="n">
        <f aca="false">E17-D17</f>
        <v>108000</v>
      </c>
      <c r="H17" s="16" t="n">
        <f aca="false">F17-D17</f>
        <v>177054.721448896</v>
      </c>
    </row>
    <row r="18" customFormat="false" ht="15" hidden="false" customHeight="false" outlineLevel="0" collapsed="false">
      <c r="A18" s="15" t="n">
        <v>16</v>
      </c>
      <c r="B18" s="15" t="n">
        <f aca="false">A18*12</f>
        <v>192</v>
      </c>
      <c r="C18" s="16" t="n">
        <f aca="false">B18*Předpoklady!$B$4</f>
        <v>768000</v>
      </c>
      <c r="D18" s="16" t="n">
        <f aca="false">IF(A18=0,0,INDEX(Měsíce!$D$2:$D$361,B18))</f>
        <v>1388858.21407627</v>
      </c>
      <c r="E18" s="16" t="n">
        <f aca="false">IF(A18=0,0,D18+INDEX(Měsíce!$F$2:$F$361,B18)+Předpoklady!$B$12)</f>
        <v>1504058.21407627</v>
      </c>
      <c r="F18" s="16" t="n">
        <f aca="false">IF(A18=0,0,D18+INDEX(Měsíce!$G$2:$G$361,B18)+Předpoklady!$B$12)</f>
        <v>1585334.96322353</v>
      </c>
      <c r="G18" s="16" t="n">
        <f aca="false">E18-D18</f>
        <v>115200</v>
      </c>
      <c r="H18" s="16" t="n">
        <f aca="false">F18-D18</f>
        <v>196476.74914726</v>
      </c>
    </row>
    <row r="19" customFormat="false" ht="15" hidden="false" customHeight="false" outlineLevel="0" collapsed="false">
      <c r="A19" s="15" t="n">
        <v>17</v>
      </c>
      <c r="B19" s="15" t="n">
        <f aca="false">A19*12</f>
        <v>204</v>
      </c>
      <c r="C19" s="16" t="n">
        <f aca="false">B19*Předpoklady!$B$4</f>
        <v>816000</v>
      </c>
      <c r="D19" s="16" t="n">
        <f aca="false">IF(A19=0,0,INDEX(Měsíce!$D$2:$D$361,B19))</f>
        <v>1535879.47764365</v>
      </c>
      <c r="E19" s="16" t="n">
        <f aca="false">IF(A19=0,0,D19+INDEX(Měsíce!$F$2:$F$361,B19)+Předpoklady!$B$12)</f>
        <v>1658279.47764365</v>
      </c>
      <c r="F19" s="16" t="n">
        <f aca="false">IF(A19=0,0,D19+INDEX(Měsíce!$G$2:$G$361,B19)+Předpoklady!$B$12)</f>
        <v>1753137.79642816</v>
      </c>
      <c r="G19" s="16" t="n">
        <f aca="false">E19-D19</f>
        <v>122400</v>
      </c>
      <c r="H19" s="16" t="n">
        <f aca="false">F19-D19</f>
        <v>217258.31878451</v>
      </c>
    </row>
    <row r="20" customFormat="false" ht="15" hidden="false" customHeight="false" outlineLevel="0" collapsed="false">
      <c r="A20" s="15" t="n">
        <v>18</v>
      </c>
      <c r="B20" s="15" t="n">
        <f aca="false">A20*12</f>
        <v>216</v>
      </c>
      <c r="C20" s="16" t="n">
        <f aca="false">B20*Předpoklady!$B$4</f>
        <v>864000</v>
      </c>
      <c r="D20" s="16" t="n">
        <f aca="false">IF(A20=0,0,INDEX(Měsíce!$D$2:$D$361,B20))</f>
        <v>1693192.22966076</v>
      </c>
      <c r="E20" s="16" t="n">
        <f aca="false">IF(A20=0,0,D20+INDEX(Měsíce!$F$2:$F$361,B20)+Předpoklady!$B$12)</f>
        <v>1822792.22966076</v>
      </c>
      <c r="F20" s="16" t="n">
        <f aca="false">IF(A20=0,0,D20+INDEX(Měsíce!$G$2:$G$361,B20)+Předpoklady!$B$12)</f>
        <v>1932686.82795712</v>
      </c>
      <c r="G20" s="16" t="n">
        <f aca="false">E20-D20</f>
        <v>129600</v>
      </c>
      <c r="H20" s="16" t="n">
        <f aca="false">F20-D20</f>
        <v>239494.598296368</v>
      </c>
    </row>
    <row r="21" customFormat="false" ht="15" hidden="false" customHeight="false" outlineLevel="0" collapsed="false">
      <c r="A21" s="15" t="n">
        <v>19</v>
      </c>
      <c r="B21" s="15" t="n">
        <f aca="false">A21*12</f>
        <v>228</v>
      </c>
      <c r="C21" s="16" t="n">
        <f aca="false">B21*Předpoklady!$B$4</f>
        <v>912000</v>
      </c>
      <c r="D21" s="16" t="n">
        <f aca="false">IF(A21=0,0,INDEX(Měsíce!$D$2:$D$361,B21))</f>
        <v>1861516.87431905</v>
      </c>
      <c r="E21" s="16" t="n">
        <f aca="false">IF(A21=0,0,D21+INDEX(Měsíce!$F$2:$F$361,B21)+Předpoklady!$B$12)</f>
        <v>1998316.87431905</v>
      </c>
      <c r="F21" s="16" t="n">
        <f aca="false">IF(A21=0,0,D21+INDEX(Měsíce!$G$2:$G$361,B21)+Předpoklady!$B$12)</f>
        <v>2124804.29169311</v>
      </c>
      <c r="G21" s="16" t="n">
        <f aca="false">E21-D21</f>
        <v>136800</v>
      </c>
      <c r="H21" s="16" t="n">
        <f aca="false">F21-D21</f>
        <v>263287.417374055</v>
      </c>
    </row>
    <row r="22" customFormat="false" ht="15" hidden="false" customHeight="false" outlineLevel="0" collapsed="false">
      <c r="A22" s="15" t="n">
        <v>20</v>
      </c>
      <c r="B22" s="15" t="n">
        <f aca="false">A22*12</f>
        <v>240</v>
      </c>
      <c r="C22" s="16" t="n">
        <f aca="false">B22*Předpoklady!$B$4</f>
        <v>960000</v>
      </c>
      <c r="D22" s="16" t="n">
        <f aca="false">IF(A22=0,0,INDEX(Měsíce!$D$2:$D$361,B22))</f>
        <v>2041624.24410343</v>
      </c>
      <c r="E22" s="16" t="n">
        <f aca="false">IF(A22=0,0,D22+INDEX(Měsíce!$F$2:$F$361,B22)+Předpoklady!$B$12)</f>
        <v>2185624.24410343</v>
      </c>
      <c r="F22" s="16" t="n">
        <f aca="false">IF(A22=0,0,D22+INDEX(Měsíce!$G$2:$G$361,B22)+Předpoklady!$B$12)</f>
        <v>2330369.97789061</v>
      </c>
      <c r="G22" s="16" t="n">
        <f aca="false">E22-D22</f>
        <v>144000</v>
      </c>
      <c r="H22" s="16" t="n">
        <f aca="false">F22-D22</f>
        <v>288745.73378718</v>
      </c>
    </row>
    <row r="23" customFormat="false" ht="15" hidden="false" customHeight="false" outlineLevel="0" collapsed="false">
      <c r="A23" s="15" t="n">
        <v>21</v>
      </c>
      <c r="B23" s="15" t="n">
        <f aca="false">A23*12</f>
        <v>252</v>
      </c>
      <c r="C23" s="16" t="n">
        <f aca="false">B23*Předpoklady!$B$4</f>
        <v>1008000</v>
      </c>
      <c r="D23" s="16" t="n">
        <f aca="false">IF(A23=0,0,INDEX(Měsíce!$D$2:$D$361,B23))</f>
        <v>2234339.12977272</v>
      </c>
      <c r="E23" s="16" t="n">
        <f aca="false">IF(A23=0,0,D23+INDEX(Měsíce!$F$2:$F$361,B23)+Předpoklady!$B$12)</f>
        <v>2385539.12977272</v>
      </c>
      <c r="F23" s="16" t="n">
        <f aca="false">IF(A23=0,0,D23+INDEX(Měsíce!$G$2:$G$361,B23)+Předpoklady!$B$12)</f>
        <v>2550325.26212194</v>
      </c>
      <c r="G23" s="16" t="n">
        <f aca="false">E23-D23</f>
        <v>151200</v>
      </c>
      <c r="H23" s="16" t="n">
        <f aca="false">F23-D23</f>
        <v>315986.132349225</v>
      </c>
    </row>
    <row r="24" customFormat="false" ht="15" hidden="false" customHeight="false" outlineLevel="0" collapsed="false">
      <c r="A24" s="15" t="n">
        <v>22</v>
      </c>
      <c r="B24" s="15" t="n">
        <f aca="false">A24*12</f>
        <v>264</v>
      </c>
      <c r="C24" s="16" t="n">
        <f aca="false">B24*Předpoklady!$B$4</f>
        <v>1056000</v>
      </c>
      <c r="D24" s="16" t="n">
        <f aca="false">IF(A24=0,0,INDEX(Měsíce!$D$2:$D$361,B24))</f>
        <v>2440544.05743886</v>
      </c>
      <c r="E24" s="16" t="n">
        <f aca="false">IF(A24=0,0,D24+INDEX(Měsíce!$F$2:$F$361,B24)+Předpoklady!$B$12)</f>
        <v>2598944.05743886</v>
      </c>
      <c r="F24" s="16" t="n">
        <f aca="false">IF(A24=0,0,D24+INDEX(Měsíce!$G$2:$G$361,B24)+Předpoklady!$B$12)</f>
        <v>2785677.41624947</v>
      </c>
      <c r="G24" s="16" t="n">
        <f aca="false">E24-D24</f>
        <v>158400</v>
      </c>
      <c r="H24" s="16" t="n">
        <f aca="false">F24-D24</f>
        <v>345133.358810612</v>
      </c>
    </row>
    <row r="25" customFormat="false" ht="15" hidden="false" customHeight="false" outlineLevel="0" collapsed="false">
      <c r="A25" s="15" t="n">
        <v>23</v>
      </c>
      <c r="B25" s="15" t="n">
        <f aca="false">A25*12</f>
        <v>276</v>
      </c>
      <c r="C25" s="16" t="n">
        <f aca="false">B25*Předpoklady!$B$4</f>
        <v>1104000</v>
      </c>
      <c r="D25" s="16" t="n">
        <f aca="false">IF(A25=0,0,INDEX(Měsíce!$D$2:$D$361,B25))</f>
        <v>2661183.33004162</v>
      </c>
      <c r="E25" s="16" t="n">
        <f aca="false">IF(A25=0,0,D25+INDEX(Měsíce!$F$2:$F$361,B25)+Předpoklady!$B$12)</f>
        <v>2826783.33004162</v>
      </c>
      <c r="F25" s="16" t="n">
        <f aca="false">IF(A25=0,0,D25+INDEX(Měsíce!$G$2:$G$361,B25)+Předpoklady!$B$12)</f>
        <v>3037504.22116592</v>
      </c>
      <c r="G25" s="16" t="n">
        <f aca="false">E25-D25</f>
        <v>165600</v>
      </c>
      <c r="H25" s="16" t="n">
        <f aca="false">F25-D25</f>
        <v>376320.891124297</v>
      </c>
    </row>
    <row r="26" customFormat="false" ht="15" hidden="false" customHeight="false" outlineLevel="0" collapsed="false">
      <c r="A26" s="15" t="n">
        <v>24</v>
      </c>
      <c r="B26" s="15" t="n">
        <f aca="false">A26*12</f>
        <v>288</v>
      </c>
      <c r="C26" s="16" t="n">
        <f aca="false">B26*Předpoklady!$B$4</f>
        <v>1152000</v>
      </c>
      <c r="D26" s="16" t="n">
        <f aca="false">IF(A26=0,0,INDEX(Měsíce!$D$2:$D$361,B26))</f>
        <v>2897267.35172658</v>
      </c>
      <c r="E26" s="16" t="n">
        <f aca="false">IF(A26=0,0,D26+INDEX(Měsíce!$F$2:$F$361,B26)+Předpoklady!$B$12)</f>
        <v>3070067.35172658</v>
      </c>
      <c r="F26" s="16" t="n">
        <f aca="false">IF(A26=0,0,D26+INDEX(Měsíce!$G$2:$G$361,B26)+Předpoklady!$B$12)</f>
        <v>3306958.90242652</v>
      </c>
      <c r="G26" s="16" t="n">
        <f aca="false">E26-D26</f>
        <v>172800</v>
      </c>
      <c r="H26" s="16" t="n">
        <f aca="false">F26-D26</f>
        <v>409691.55069994</v>
      </c>
    </row>
    <row r="27" customFormat="false" ht="15" hidden="false" customHeight="false" outlineLevel="0" collapsed="false">
      <c r="A27" s="15" t="n">
        <v>25</v>
      </c>
      <c r="B27" s="15" t="n">
        <f aca="false">A27*12</f>
        <v>300</v>
      </c>
      <c r="C27" s="16" t="n">
        <f aca="false">B27*Předpoklady!$B$4</f>
        <v>1200000</v>
      </c>
      <c r="D27" s="16" t="n">
        <f aca="false">IF(A27=0,0,INDEX(Měsíce!$D$2:$D$361,B27))</f>
        <v>3149877.25492949</v>
      </c>
      <c r="E27" s="16" t="n">
        <f aca="false">IF(A27=0,0,D27+INDEX(Měsíce!$F$2:$F$361,B27)+Předpoklady!$B$12)</f>
        <v>3329877.25492949</v>
      </c>
      <c r="F27" s="16" t="n">
        <f aca="false">IF(A27=0,0,D27+INDEX(Měsíce!$G$2:$G$361,B27)+Předpoklady!$B$12)</f>
        <v>3595275.41137536</v>
      </c>
      <c r="G27" s="16" t="n">
        <f aca="false">E27-D27</f>
        <v>180000</v>
      </c>
      <c r="H27" s="16" t="n">
        <f aca="false">F27-D27</f>
        <v>445398.156445877</v>
      </c>
    </row>
    <row r="28" customFormat="false" ht="15" hidden="false" customHeight="false" outlineLevel="0" collapsed="false">
      <c r="A28" s="15" t="n">
        <v>26</v>
      </c>
      <c r="B28" s="15" t="n">
        <f aca="false">A28*12</f>
        <v>312</v>
      </c>
      <c r="C28" s="16" t="n">
        <f aca="false">B28*Předpoklady!$B$4</f>
        <v>1248000</v>
      </c>
      <c r="D28" s="16" t="n">
        <f aca="false">IF(A28=0,0,INDEX(Měsíce!$D$2:$D$361,B28))</f>
        <v>3420169.8513566</v>
      </c>
      <c r="E28" s="16" t="n">
        <f aca="false">IF(A28=0,0,D28+INDEX(Měsíce!$F$2:$F$361,B28)+Předpoklady!$B$12)</f>
        <v>3607369.8513566</v>
      </c>
      <c r="F28" s="16" t="n">
        <f aca="false">IF(A28=0,0,D28+INDEX(Měsíce!$G$2:$G$361,B28)+Předpoklady!$B$12)</f>
        <v>3903774.07595063</v>
      </c>
      <c r="G28" s="16" t="n">
        <f aca="false">E28-D28</f>
        <v>187200</v>
      </c>
      <c r="H28" s="16" t="n">
        <f aca="false">F28-D28</f>
        <v>483604.224594031</v>
      </c>
    </row>
    <row r="29" customFormat="false" ht="15" hidden="false" customHeight="false" outlineLevel="0" collapsed="false">
      <c r="A29" s="15" t="n">
        <v>27</v>
      </c>
      <c r="B29" s="15" t="n">
        <f aca="false">A29*12</f>
        <v>324</v>
      </c>
      <c r="C29" s="16" t="n">
        <f aca="false">B29*Předpoklady!$B$4</f>
        <v>1296000</v>
      </c>
      <c r="D29" s="16" t="n">
        <f aca="false">IF(A29=0,0,INDEX(Měsíce!$D$2:$D$361,B29))</f>
        <v>3709382.9295336</v>
      </c>
      <c r="E29" s="16" t="n">
        <f aca="false">IF(A29=0,0,D29+INDEX(Měsíce!$F$2:$F$361,B29)+Předpoklady!$B$12)</f>
        <v>3903782.9295336</v>
      </c>
      <c r="F29" s="16" t="n">
        <f aca="false">IF(A29=0,0,D29+INDEX(Měsíce!$G$2:$G$361,B29)+Předpoklady!$B$12)</f>
        <v>4233867.64704616</v>
      </c>
      <c r="G29" s="16" t="n">
        <f aca="false">E29-D29</f>
        <v>194400</v>
      </c>
      <c r="H29" s="16" t="n">
        <f aca="false">F29-D29</f>
        <v>524484.717512555</v>
      </c>
    </row>
    <row r="30" customFormat="false" ht="15" hidden="false" customHeight="false" outlineLevel="0" collapsed="false">
      <c r="A30" s="15" t="n">
        <v>28</v>
      </c>
      <c r="B30" s="15" t="n">
        <f aca="false">A30*12</f>
        <v>336</v>
      </c>
      <c r="C30" s="16" t="n">
        <f aca="false">B30*Předpoklady!$B$4</f>
        <v>1344000</v>
      </c>
      <c r="D30" s="16" t="n">
        <f aca="false">IF(A30=0,0,INDEX(Měsíce!$D$2:$D$361,B30))</f>
        <v>4018840.923183</v>
      </c>
      <c r="E30" s="16" t="n">
        <f aca="false">IF(A30=0,0,D30+INDEX(Měsíce!$F$2:$F$361,B30)+Předpoklady!$B$12)</f>
        <v>4220440.923183</v>
      </c>
      <c r="F30" s="16" t="n">
        <f aca="false">IF(A30=0,0,D30+INDEX(Měsíce!$G$2:$G$361,B30)+Předpoklady!$B$12)</f>
        <v>4587067.76811838</v>
      </c>
      <c r="G30" s="16" t="n">
        <f aca="false">E30-D30</f>
        <v>201600</v>
      </c>
      <c r="H30" s="16" t="n">
        <f aca="false">F30-D30</f>
        <v>568226.844935375</v>
      </c>
    </row>
    <row r="31" customFormat="false" ht="15" hidden="false" customHeight="false" outlineLevel="0" collapsed="false">
      <c r="A31" s="15" t="n">
        <v>29</v>
      </c>
      <c r="B31" s="15" t="n">
        <f aca="false">A31*12</f>
        <v>348</v>
      </c>
      <c r="C31" s="16" t="n">
        <f aca="false">B31*Předpoklady!$B$4</f>
        <v>1392000</v>
      </c>
      <c r="D31" s="16" t="n">
        <f aca="false">IF(A31=0,0,INDEX(Měsíce!$D$2:$D$361,B31))</f>
        <v>4349960.97638786</v>
      </c>
      <c r="E31" s="16" t="n">
        <f aca="false">IF(A31=0,0,D31+INDEX(Měsíce!$F$2:$F$361,B31)+Předpoklady!$B$12)</f>
        <v>4558760.97638786</v>
      </c>
      <c r="F31" s="16" t="n">
        <f aca="false">IF(A31=0,0,D31+INDEX(Měsíce!$G$2:$G$361,B31)+Předpoklady!$B$12)</f>
        <v>4964991.89766565</v>
      </c>
      <c r="G31" s="16" t="n">
        <f aca="false">E31-D31</f>
        <v>208800</v>
      </c>
      <c r="H31" s="16" t="n">
        <f aca="false">F31-D31</f>
        <v>615030.921277793</v>
      </c>
    </row>
    <row r="32" customFormat="false" ht="15" hidden="false" customHeight="false" outlineLevel="0" collapsed="false">
      <c r="A32" s="15" t="n">
        <v>30</v>
      </c>
      <c r="B32" s="15" t="n">
        <f aca="false">A32*12</f>
        <v>360</v>
      </c>
      <c r="C32" s="16" t="n">
        <f aca="false">B32*Předpoklady!$B$4</f>
        <v>1440000</v>
      </c>
      <c r="D32" s="16" t="n">
        <f aca="false">IF(A32=0,0,INDEX(Měsíce!$D$2:$D$361,B32))</f>
        <v>4704259.43331705</v>
      </c>
      <c r="E32" s="16" t="n">
        <f aca="false">IF(A32=0,0,D32+INDEX(Měsíce!$F$2:$F$361,B32)+Předpoklady!$B$12)</f>
        <v>4920259.43331705</v>
      </c>
      <c r="F32" s="16" t="n">
        <f aca="false">IF(A32=0,0,D32+INDEX(Měsíce!$G$2:$G$361,B32)+Předpoklady!$B$12)</f>
        <v>5369370.71628123</v>
      </c>
      <c r="G32" s="16" t="n">
        <f aca="false">E32-D32</f>
        <v>216000</v>
      </c>
      <c r="H32" s="16" t="n">
        <f aca="false">F32-D32</f>
        <v>665111.28296418</v>
      </c>
    </row>
    <row r="34" customFormat="false" ht="15" hidden="false" customHeight="false" outlineLevel="0" collapsed="false">
      <c r="A34" s="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2026-10-21T12:20:30Z</dcterms:created>
  <dc:creator>openpyxl</dc:creator>
  <dc:description/>
  <dc:language>en-US</dc:language>
  <cp:lastModifiedBy/>
  <dcterms:modified xsi:type="dcterms:W3CDTF">2026-10-21T12:20:30Z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